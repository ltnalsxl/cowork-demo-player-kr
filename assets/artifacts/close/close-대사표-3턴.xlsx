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217" documentId="11_C2330F6A7D47CD0F97E819E7E0BCBE8359B1E8BC" xr6:coauthVersionLast="47" xr6:coauthVersionMax="47" xr10:uidLastSave="{5A6652FF-A297-4F7D-9FE9-7BAEDAFECB42}"/>
  <bookViews>
    <workbookView xWindow="0" yWindow="0" windowWidth="0" windowHeight="0" xr2:uid="{00000000-000D-0000-FFFF-FFFF00000000}"/>
  </bookViews>
  <sheets>
    <sheet name="대사표" sheetId="1" r:id="rId1"/>
    <sheet name="팀별_요약" sheetId="2" r:id="rId2"/>
    <sheet name="안내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6" i="1" l="1"/>
  <c r="N126" i="1"/>
  <c r="M126" i="1"/>
  <c r="L126" i="1"/>
  <c r="G126" i="1"/>
</calcChain>
</file>

<file path=xl/sharedStrings.xml><?xml version="1.0" encoding="utf-8"?>
<sst xmlns="http://schemas.openxmlformats.org/spreadsheetml/2006/main" count="800" uniqueCount="300">
  <si>
    <t>2026년 수주-매출 대사표 (프로젝트코드 기준, 2026.01~08 수주 건)</t>
  </si>
  <si>
    <t>단위: 백만원 | 영업기획 「2026년_수주상세」 × 재무회계 「프로젝트별_매출인식」·「미인식_계약잔액」 프로젝트코드 매칭 | 재무 마감기준일 2026-09-02</t>
  </si>
  <si>
    <t>프로젝트코드</t>
  </si>
  <si>
    <t>프로젝트명</t>
  </si>
  <si>
    <t>고객사</t>
  </si>
  <si>
    <t>수행팀</t>
  </si>
  <si>
    <t>영업담당</t>
  </si>
  <si>
    <t>수주일</t>
  </si>
  <si>
    <t>계약금액</t>
  </si>
  <si>
    <t>계약기간(개월)</t>
  </si>
  <si>
    <t>착수예정일</t>
  </si>
  <si>
    <t>착수일(실제)</t>
  </si>
  <si>
    <t>진행상태</t>
  </si>
  <si>
    <t>당월인식액(8월)</t>
  </si>
  <si>
    <t>누적인식액(~8월)</t>
  </si>
  <si>
    <t>미인식잔액</t>
  </si>
  <si>
    <t>진행률</t>
  </si>
  <si>
    <t>비고</t>
  </si>
  <si>
    <t>P26-008</t>
  </si>
  <si>
    <t>한국기술표준원 MES 구축</t>
  </si>
  <si>
    <t>한국기술표준원</t>
  </si>
  <si>
    <t>공공팀</t>
  </si>
  <si>
    <t>임재혁</t>
  </si>
  <si>
    <t>진행중</t>
  </si>
  <si>
    <t>P26-009</t>
  </si>
  <si>
    <t>수도권교통본부 MES 구축</t>
  </si>
  <si>
    <t>수도권교통본부</t>
  </si>
  <si>
    <t>최민서</t>
  </si>
  <si>
    <t>P26-010</t>
  </si>
  <si>
    <t>한국안전관리공단 정보보호 체계 강화</t>
  </si>
  <si>
    <t>한국안전관리공단</t>
  </si>
  <si>
    <t>정하늘</t>
  </si>
  <si>
    <t>P26-020</t>
  </si>
  <si>
    <t>한국안전관리공단 RPA 확산</t>
  </si>
  <si>
    <t>P26-021</t>
  </si>
  <si>
    <t>중앙환경자원공사 AI 품질검사 시스템</t>
  </si>
  <si>
    <t>중앙환경자원공사</t>
  </si>
  <si>
    <t>P26-022</t>
  </si>
  <si>
    <t>수도권교통본부 AI 품질검사 시스템</t>
  </si>
  <si>
    <t>P26-023</t>
  </si>
  <si>
    <t>한국기술표준원 노후 인프라 교체</t>
  </si>
  <si>
    <t>P26-033</t>
  </si>
  <si>
    <t>수도권교통본부 정보보호 체계 강화</t>
  </si>
  <si>
    <t>P26-034</t>
  </si>
  <si>
    <t>수도권교통본부 데이터 플랫폼 구축</t>
  </si>
  <si>
    <t>P26-035</t>
  </si>
  <si>
    <t>수도권교통본부 RPA 확산</t>
  </si>
  <si>
    <t>P26-036</t>
  </si>
  <si>
    <t>한국기술표준원 통합관제 시스템</t>
  </si>
  <si>
    <t>P26-037</t>
  </si>
  <si>
    <t>중앙환경자원공사 정보보호 체계 강화</t>
  </si>
  <si>
    <t>P26-038</t>
  </si>
  <si>
    <t>중앙환경자원공사 데이터 플랫폼 구축</t>
  </si>
  <si>
    <t>P26-039</t>
  </si>
  <si>
    <t>한국기술표준원 그룹웨어 재구축</t>
  </si>
  <si>
    <t>P26-055</t>
  </si>
  <si>
    <t>국가물류정보원 그룹웨어 재구축</t>
  </si>
  <si>
    <t>국가물류정보원</t>
  </si>
  <si>
    <t>P26-056</t>
  </si>
  <si>
    <t>국가물류정보원 정보보호 체계 강화</t>
  </si>
  <si>
    <t>P26-057</t>
  </si>
  <si>
    <t>국가물류정보원 BI 리포팅 고도화</t>
  </si>
  <si>
    <t>P26-068</t>
  </si>
  <si>
    <t>한국안전관리공단 데이터 플랫폼 구축</t>
  </si>
  <si>
    <t>P26-069</t>
  </si>
  <si>
    <t>P26-070</t>
  </si>
  <si>
    <t>수도권교통본부 클라우드 전환</t>
  </si>
  <si>
    <t>P26-071</t>
  </si>
  <si>
    <t>P26-089</t>
  </si>
  <si>
    <t>P26-090</t>
  </si>
  <si>
    <t>P26-091</t>
  </si>
  <si>
    <t>한국기술표준원 RPA 확산</t>
  </si>
  <si>
    <t>착수대기</t>
  </si>
  <si>
    <t>P26-092</t>
  </si>
  <si>
    <t>P26-093</t>
  </si>
  <si>
    <t>P26-105</t>
  </si>
  <si>
    <t>한국안전관리공단 그룹웨어 재구축</t>
  </si>
  <si>
    <t>P26-106</t>
  </si>
  <si>
    <t>P26-116</t>
  </si>
  <si>
    <t>중앙환경자원공사 MES 구축</t>
  </si>
  <si>
    <t>P26-117</t>
  </si>
  <si>
    <t>한국안전관리공단 ERP 고도화</t>
  </si>
  <si>
    <t>P26-118</t>
  </si>
  <si>
    <t>한국기술표준원 ERP 고도화</t>
  </si>
  <si>
    <t>P26-011</t>
  </si>
  <si>
    <t>서원생명 노후 인프라 교체</t>
  </si>
  <si>
    <t>서원생명</t>
  </si>
  <si>
    <t>금융팀</t>
  </si>
  <si>
    <t>윤서연</t>
  </si>
  <si>
    <t>요건 변경으로 일정 조정</t>
  </si>
  <si>
    <t>P26-012</t>
  </si>
  <si>
    <t>한결은행 BI 리포팅 고도화</t>
  </si>
  <si>
    <t>한결은행</t>
  </si>
  <si>
    <t>완료</t>
  </si>
  <si>
    <t>고객 검수 지연</t>
  </si>
  <si>
    <t>P26-013</t>
  </si>
  <si>
    <t>서원생명 정보보호 체계 강화</t>
  </si>
  <si>
    <t>P26-024</t>
  </si>
  <si>
    <t>세종캐피탈 클라우드 전환</t>
  </si>
  <si>
    <t>세종캐피탈</t>
  </si>
  <si>
    <t>강태인</t>
  </si>
  <si>
    <t>P26-025</t>
  </si>
  <si>
    <t>청암카드 RPA 확산</t>
  </si>
  <si>
    <t>청암카드</t>
  </si>
  <si>
    <t>P26-026</t>
  </si>
  <si>
    <t>한결은행 그룹웨어 재구축</t>
  </si>
  <si>
    <t>P26-040</t>
  </si>
  <si>
    <t>세종캐피탈 RPA 확산</t>
  </si>
  <si>
    <t>P26-041</t>
  </si>
  <si>
    <t>무영증권 클라우드 전환</t>
  </si>
  <si>
    <t>무영증권</t>
  </si>
  <si>
    <t>P26-042</t>
  </si>
  <si>
    <t>세종캐피탈 통합관제 시스템</t>
  </si>
  <si>
    <t>P26-043</t>
  </si>
  <si>
    <t>P26-058</t>
  </si>
  <si>
    <t>무영증권 노후 인프라 교체</t>
  </si>
  <si>
    <t>P26-059</t>
  </si>
  <si>
    <t>P26-060</t>
  </si>
  <si>
    <t>한결은행 ERP 고도화</t>
  </si>
  <si>
    <t>P26-072</t>
  </si>
  <si>
    <t>P26-073</t>
  </si>
  <si>
    <t>한결은행 RPA 확산</t>
  </si>
  <si>
    <t>P26-094</t>
  </si>
  <si>
    <t>무영증권 통합관제 시스템</t>
  </si>
  <si>
    <t>P26-095</t>
  </si>
  <si>
    <t>무영증권 데이터 플랫폼 구축</t>
  </si>
  <si>
    <t>P26-096</t>
  </si>
  <si>
    <t>청암카드 AI 품질검사 시스템</t>
  </si>
  <si>
    <t>고객사 인사이동으로 착수 지연</t>
  </si>
  <si>
    <t>P26-097</t>
  </si>
  <si>
    <t>P26-098</t>
  </si>
  <si>
    <t>한결은행 차세대 시스템 구축</t>
  </si>
  <si>
    <t>P26-107</t>
  </si>
  <si>
    <t>청암카드 클라우드 전환</t>
  </si>
  <si>
    <t>P26-108</t>
  </si>
  <si>
    <t>청암카드 BI 리포팅 고도화</t>
  </si>
  <si>
    <t>P26-109</t>
  </si>
  <si>
    <t>서원생명 차세대 시스템 구축</t>
  </si>
  <si>
    <t>P26-119</t>
  </si>
  <si>
    <t>P26-120</t>
  </si>
  <si>
    <t>P26-121</t>
  </si>
  <si>
    <t>한결은행 정보보호 체계 강화</t>
  </si>
  <si>
    <t>P26-001</t>
  </si>
  <si>
    <t>한빛전자 BI 리포팅 고도화</t>
  </si>
  <si>
    <t>한빛전자</t>
  </si>
  <si>
    <t>제조1팀</t>
  </si>
  <si>
    <t>김도현</t>
  </si>
  <si>
    <t>P26-002</t>
  </si>
  <si>
    <t>태산머티리얼즈 그룹웨어 재구축</t>
  </si>
  <si>
    <t>태산머티리얼즈</t>
  </si>
  <si>
    <t>이지우</t>
  </si>
  <si>
    <t>P26-003</t>
  </si>
  <si>
    <t>우진정밀 차세대 시스템 구축</t>
  </si>
  <si>
    <t>우진정밀</t>
  </si>
  <si>
    <t>P26-004</t>
  </si>
  <si>
    <t>유성중공업 차세대 시스템 구축</t>
  </si>
  <si>
    <t>유성중공업</t>
  </si>
  <si>
    <t>P26-014</t>
  </si>
  <si>
    <t>우진정밀 클라우드 전환</t>
  </si>
  <si>
    <t>P26-015</t>
  </si>
  <si>
    <t>태산머티리얼즈 MES 구축</t>
  </si>
  <si>
    <t>신우석</t>
  </si>
  <si>
    <t>P26-016</t>
  </si>
  <si>
    <t>동광기계 MES 구축</t>
  </si>
  <si>
    <t>동광기계</t>
  </si>
  <si>
    <t>P26-027</t>
  </si>
  <si>
    <t>유성중공업 정보보호 체계 강화</t>
  </si>
  <si>
    <t>P26-028</t>
  </si>
  <si>
    <t>태산머티리얼즈 차세대 시스템 구축</t>
  </si>
  <si>
    <t>P26-029</t>
  </si>
  <si>
    <t>한빛전자 MES 구축</t>
  </si>
  <si>
    <t>P26-044</t>
  </si>
  <si>
    <t>태산머티리얼즈 정보보호 체계 강화</t>
  </si>
  <si>
    <t>P26-045</t>
  </si>
  <si>
    <t>동광기계 데이터 플랫폼 구축</t>
  </si>
  <si>
    <t>P26-046</t>
  </si>
  <si>
    <t>P26-047</t>
  </si>
  <si>
    <t>P26-048</t>
  </si>
  <si>
    <t>한빛전자 정보보호 체계 강화</t>
  </si>
  <si>
    <t>P26-049</t>
  </si>
  <si>
    <t>한빛전자 ERP 고도화</t>
  </si>
  <si>
    <t>P26-061</t>
  </si>
  <si>
    <t>태산머티리얼즈 AI 품질검사 시스템</t>
  </si>
  <si>
    <t>P26-062</t>
  </si>
  <si>
    <t>유성중공업 BI 리포팅 고도화</t>
  </si>
  <si>
    <t>P26-063</t>
  </si>
  <si>
    <t>P26-074</t>
  </si>
  <si>
    <t>유성중공업 그룹웨어 재구축</t>
  </si>
  <si>
    <t>P26-075</t>
  </si>
  <si>
    <t>우진정밀 정보보호 체계 강화</t>
  </si>
  <si>
    <t>P26-076</t>
  </si>
  <si>
    <t>우진정밀 RPA 확산</t>
  </si>
  <si>
    <t>P26-077</t>
  </si>
  <si>
    <t>P26-078</t>
  </si>
  <si>
    <t>유성중공업 AI 품질검사 시스템</t>
  </si>
  <si>
    <t>P26-079</t>
  </si>
  <si>
    <t>P26-080</t>
  </si>
  <si>
    <t>동광기계 차세대 시스템 구축</t>
  </si>
  <si>
    <t>P26-081</t>
  </si>
  <si>
    <t>우진정밀 MES 구축</t>
  </si>
  <si>
    <t>P26-082</t>
  </si>
  <si>
    <t>P26-099</t>
  </si>
  <si>
    <t>P26-100</t>
  </si>
  <si>
    <t>P26-101</t>
  </si>
  <si>
    <t>한빛전자 노후 인프라 교체</t>
  </si>
  <si>
    <t>P26-110</t>
  </si>
  <si>
    <t>동광기계 ERP 고도화</t>
  </si>
  <si>
    <t>P26-111</t>
  </si>
  <si>
    <t>P26-112</t>
  </si>
  <si>
    <t>P26-005</t>
  </si>
  <si>
    <t>광양소재 BI 리포팅 고도화</t>
  </si>
  <si>
    <t>광양소재</t>
  </si>
  <si>
    <t>제조2팀</t>
  </si>
  <si>
    <t>박서준</t>
  </si>
  <si>
    <t>P26-006</t>
  </si>
  <si>
    <t>삼도정공 그룹웨어 재구축</t>
  </si>
  <si>
    <t>삼도정공</t>
  </si>
  <si>
    <t>P26-007</t>
  </si>
  <si>
    <t>대영화학 BI 리포팅 고도화</t>
  </si>
  <si>
    <t>대영화학</t>
  </si>
  <si>
    <t>P26-017</t>
  </si>
  <si>
    <t>삼도정공 차세대 시스템 구축</t>
  </si>
  <si>
    <t>P26-018</t>
  </si>
  <si>
    <t>신성모빌리티 BI 리포팅 고도화</t>
  </si>
  <si>
    <t>신성모빌리티</t>
  </si>
  <si>
    <t>P26-019</t>
  </si>
  <si>
    <t>신성모빌리티 MES 구축</t>
  </si>
  <si>
    <t>오다은</t>
  </si>
  <si>
    <t>P26-030</t>
  </si>
  <si>
    <t>신성모빌리티 RPA 확산</t>
  </si>
  <si>
    <t>P26-031</t>
  </si>
  <si>
    <t>한라테크 데이터 플랫폼 구축</t>
  </si>
  <si>
    <t>한라테크</t>
  </si>
  <si>
    <t>P26-032</t>
  </si>
  <si>
    <t>신성모빌리티 노후 인프라 교체</t>
  </si>
  <si>
    <t>P26-050</t>
  </si>
  <si>
    <t>한라테크 노후 인프라 교체</t>
  </si>
  <si>
    <t>P26-051</t>
  </si>
  <si>
    <t>광양소재 클라우드 전환</t>
  </si>
  <si>
    <t>P26-052</t>
  </si>
  <si>
    <t>한라테크 MES 구축</t>
  </si>
  <si>
    <t>P26-053</t>
  </si>
  <si>
    <t>삼도정공 ERP 고도화</t>
  </si>
  <si>
    <t>P26-054</t>
  </si>
  <si>
    <t>P26-064</t>
  </si>
  <si>
    <t>광양소재 차세대 시스템 구축</t>
  </si>
  <si>
    <t>P26-065</t>
  </si>
  <si>
    <t>삼도정공 AI 품질검사 시스템</t>
  </si>
  <si>
    <t>P26-066</t>
  </si>
  <si>
    <t>P26-067</t>
  </si>
  <si>
    <t>대영화학 RPA 확산</t>
  </si>
  <si>
    <t>P26-083</t>
  </si>
  <si>
    <t>한라테크 BI 리포팅 고도화</t>
  </si>
  <si>
    <t>P26-084</t>
  </si>
  <si>
    <t>삼도정공 클라우드 전환</t>
  </si>
  <si>
    <t>P26-085</t>
  </si>
  <si>
    <t>한라테크 AI 품질검사 시스템</t>
  </si>
  <si>
    <t>P26-086</t>
  </si>
  <si>
    <t>P26-087</t>
  </si>
  <si>
    <t>광양소재 ERP 고도화</t>
  </si>
  <si>
    <t>P26-088</t>
  </si>
  <si>
    <t>P26-102</t>
  </si>
  <si>
    <t>P26-103</t>
  </si>
  <si>
    <t>삼도정공 정보보호 체계 강화</t>
  </si>
  <si>
    <t>P26-104</t>
  </si>
  <si>
    <t>P26-113</t>
  </si>
  <si>
    <t>광양소재 RPA 확산</t>
  </si>
  <si>
    <t>P26-114</t>
  </si>
  <si>
    <t>삼도정공 BI 리포팅 고도화</t>
  </si>
  <si>
    <t>P26-115</t>
  </si>
  <si>
    <t>광양소재 그룹웨어 재구축</t>
  </si>
  <si>
    <t>합계 (2026년 수주 121건)</t>
  </si>
  <si>
    <t>팀별 수주-매출 대사 요약 (2026년 1~8월 수주 건, 8월 말 기준)</t>
  </si>
  <si>
    <t>단위: 백만원 | 대사표 시트의 수행팀별 소계</t>
  </si>
  <si>
    <t>수주건수</t>
  </si>
  <si>
    <t>진행률(누적/계약)</t>
  </si>
  <si>
    <t>합계</t>
  </si>
  <si>
    <t>2026년 수주-매출 대사표 — 사용 안내</t>
  </si>
  <si>
    <t>1. 목적</t>
  </si>
  <si>
    <t>영업기획팀 「2026년 8월 영업실적 보고_v3」(수주일 기준)와 재무회계팀 「2026년 8월 매출마감 집계」(진행률 인식 기준) 두 파일을 프로젝트코드로 연결해, 2026년 1~8월 수주된 121건이 8월 말 기준 얼마난 매출로 잡혔고 얼마가 남았는지를 건별로 보여줍b니다.</t>
  </si>
  <si>
    <t>2. 시트 구성</t>
  </si>
  <si>
    <t>● 대사표: 2026년 수주 121건 전건의 계약금액, 당월(8월)인식액, 누적인식액, 미인식잔액, 진행률 상세 내역</t>
  </si>
  <si>
    <t>● 팀별_요약: 수행팀(제조1·2·공공·금융) 기준 소계 및 차트</t>
  </si>
  <si>
    <t>● 안내: 본 시트 (용어 정의, 데이터 처리 기준, 주의사항)</t>
  </si>
  <si>
    <t>3. 용어 정의</t>
  </si>
  <si>
    <t>해당 프로젝트의 전체 수주 금액(백만원, VAT 별도). 영업기획 수주상세와 재무회계 프로젝트별_매출인식 시트의 계약금액이 일치함을 확인함(121건 전건 불일치 0건)</t>
  </si>
  <si>
    <t>2026년 8월 한 달간 진행률(투입법) 기준으로 새로 매출로 인식된 금액. 재무회계 프로젝트별_매출인식 시트의 원본값</t>
  </si>
  <si>
    <t>수주 이후 2026년 8월 말까지 누적으로 인식된 금액. 재무회계 미인식_계약잔액 시트의 누적인식액을 우선 사용하고, 해당 시트에 없는 2건(P26-012, P26-032)만 프로젝트별_매출인식 시트 값을 사용</t>
  </si>
  <si>
    <t>계약금액 − 누적인식액. 즉 향후 프로젝트 진행에 따라 추가로 매출로 잡힐 수 있는 잔여 계약금액</t>
  </si>
  <si>
    <t>누적인식액 ÷ 계약금액 (K-IFRS 제1115호 투입법 기준 진행률)</t>
  </si>
  <si>
    <t>4. 데이터 처리 기준 및 추정 표시</t>
  </si>
  <si>
    <t>● 대상: 영업기획 「2026년_수주상세」의 2026년 1~8월 수주건 121건 전체 (2024/2025년 수주건 제외)</t>
  </si>
  <si>
    <t>● 121건 중 96건은 재무회계 프로젝트별_매출인식 시트에, 119건은 미인식_계약잔액 시트에 매칭됨. 양쪽 시트 모두에 없는 건(즉 8월까지 인식액 0이면서 미인식_계약잔액에도 누락된 건)은 당월인식액 0, 누적인식액 0, 미인식잔액 = 계약금액으로 처리 (추정 아님, 논리적 기산값)</t>
  </si>
  <si>
    <t>● 계약금액은 세 시트(수주상세·프로젝트별_매출인식·미인식_계약잔액) 간 121건 전건 일치 확인됨 (대사 오차 없음)</t>
  </si>
  <si>
    <t>● 착수일(실제)는 재무회계 시트의 값을 사용했으며, 해당 시트에 데이터가 없는 '착수대기' 건은 공란으로 둘 (추정 아님)</t>
  </si>
  <si>
    <t>5. 주의사항 (경영회의 보고 시 참고)</t>
  </si>
  <si>
    <t>● 재무회계 마감요약의 각주: "당월 인식액에는 7월 검수 완료분 중 9월 청구 예정 건이 포함되어 있음(계약자산 계정)" — 해당 금액은 본 파일에 별도 표시되어 있지 않아 추가 확인 필요 (추정 불가)</t>
  </si>
  <si>
    <t>● 연간목표/연간계획 기준이 두 파일 간 다름(영업기획 90,200 vs 재무회계 87,700) — 조정 시점/절차가 다르기 때문이며 이 대사표에는 데이터가 반영되지 않음</t>
  </si>
  <si>
    <t>● 본 대사표의 모든 수치는 두 원본 파일에 있는 값을 그대로 연결한 것이며, 별도의 추정치를 생성하지 않았습니다.</t>
  </si>
  <si>
    <t>작성: Copilot | 원본: [영업기획] 2026년 8월 영업실적 보고_v3.xlsx, [재무회계] 2026년 8월 매출마감 집계.xlsx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</si>
</sst>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2">
    <font>
      <sz val="11"/>
      <color theme="1"/>
      <name val="Calibri"/>
      <family val="2"/>
      <scheme val="minor"/>
    </font>
    <font>
      <b/>
      <sz val="11"/>
      <color rgb="FF1F2A5C"/>
      <name val="Calibri"/>
      <family val="2"/>
      <scheme val="minor"/>
    </font>
    <font>
      <b/>
      <sz val="15"/>
      <color rgb="FF1F2A5C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1F2A5C"/>
      <name val="Calibri"/>
    </font>
    <font>
      <b/>
      <sz val="16"/>
      <color rgb="FF1F2A5C"/>
      <name val="Calibri"/>
    </font>
    <font>
      <b/>
      <sz val="12"/>
      <color rgb="FF1F2A5C"/>
      <name val="Calibri"/>
    </font>
    <font>
      <b/>
      <sz val="12"/>
      <color rgb="FF8A5A00"/>
      <name val="Calibri"/>
    </font>
    <font>
      <sz val="11"/>
      <color rgb="FF8A5A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A5C"/>
        <bgColor indexed="64"/>
      </patternFill>
    </fill>
    <fill>
      <patternFill patternType="solid">
        <fgColor rgb="FFEEF1F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2A5C"/>
      </top>
      <bottom style="thin">
        <color rgb="FF1F2A5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1" fillId="3" borderId="1" xfId="0" applyFont="1" applyFill="1" applyBorder="1"/>
    <xf numFmtId="3" fontId="1" fillId="3" borderId="1" xfId="0" applyNumberFormat="1" applyFont="1" applyFill="1" applyBorder="1" applyAlignment="1">
      <alignment horizontal="right"/>
    </xf>
    <xf numFmtId="165" fontId="1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7" fillId="3" borderId="1" xfId="0" applyFont="1" applyFill="1" applyBorder="1"/>
    <xf numFmtId="3" fontId="7" fillId="3" borderId="1" xfId="0" applyNumberFormat="1" applyFont="1" applyFill="1" applyBorder="1" applyAlignment="1">
      <alignment horizontal="right"/>
    </xf>
    <xf numFmtId="165" fontId="7" fillId="3" borderId="1" xfId="0" applyNumberFormat="1" applyFont="1" applyFill="1" applyBorder="1" applyAlignment="1">
      <alignment horizontal="right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top"/>
    </xf>
    <xf numFmtId="0" fontId="11" fillId="0" borderId="0" xfId="0" applyFont="1" applyAlignment="1">
      <alignment wrapText="1"/>
    </xf>
    <xf numFmtId="0" fontId="3" fillId="0" borderId="0" xfId="0" applyFont="1"/>
    <xf numFmtId="0" fontId="1" fillId="3" borderId="1" xfId="0" applyFont="1" applyFill="1" applyBorder="1" applyAlignment="1"/>
    <xf numFmtId="0" fontId="2" fillId="0" borderId="0" xfId="0" applyFont="1" applyAlignment="1"/>
    <xf numFmtId="0" fontId="3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28">
    <dxf>
      <font>
        <name val="Calibri"/>
      </font>
      <numFmt numFmtId="165" formatCode="0.0%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</dxf>
    <dxf>
      <font>
        <name val="Calibri"/>
      </font>
    </dxf>
    <dxf>
      <font>
        <b/>
        <color rgb="FFFFFFFF"/>
        <name val="Calibri"/>
      </font>
      <fill>
        <patternFill patternType="solid">
          <fgColor indexed="64"/>
          <bgColor rgb="FF1F2A5C"/>
        </patternFill>
      </fill>
      <alignment horizontal="center"/>
    </dxf>
    <dxf>
      <font>
        <name val="Calibri"/>
      </font>
    </dxf>
    <dxf>
      <font>
        <name val="Calibri"/>
      </font>
      <numFmt numFmtId="165" formatCode="0.0%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  <numFmt numFmtId="3" formatCode="#,##0"/>
      <alignment horizontal="right"/>
    </dxf>
    <dxf>
      <font>
        <name val="Calibri"/>
      </font>
      <alignment horizontal="center"/>
    </dxf>
    <dxf>
      <font>
        <name val="Calibri"/>
      </font>
      <numFmt numFmtId="164" formatCode="yyyy\-mm\-dd"/>
    </dxf>
    <dxf>
      <font>
        <name val="Calibri"/>
      </font>
      <numFmt numFmtId="164" formatCode="yyyy\-mm\-dd"/>
    </dxf>
    <dxf>
      <font>
        <name val="Calibri"/>
      </font>
      <numFmt numFmtId="1" formatCode="0"/>
      <alignment horizontal="center"/>
    </dxf>
    <dxf>
      <font>
        <name val="Calibri"/>
      </font>
      <numFmt numFmtId="3" formatCode="#,##0"/>
      <alignment horizontal="right"/>
    </dxf>
    <dxf>
      <font>
        <name val="Calibri"/>
      </font>
      <numFmt numFmtId="164" formatCode="yyyy\-mm\-dd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b/>
        <color rgb="FFFFFFFF"/>
        <name val="Calibri"/>
      </font>
      <fill>
        <patternFill patternType="solid">
          <fgColor indexed="64"/>
          <bgColor rgb="FF1F2A5C"/>
        </patternFill>
      </fill>
      <alignment horizontal="center" vertical="center" wrapText="1"/>
    </dxf>
    <dxf>
      <font>
        <b/>
        <i val="0"/>
        <color rgb="FF8A5A00"/>
      </font>
      <fill>
        <patternFill patternType="solid">
          <fgColor indexed="64"/>
          <bgColor rgb="FFFDECC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팀별 미인식 계약잔액 </a:t>
            </a:r>
            <a:r>
              <a:rPr lang="en-US" altLang="ko-KR"/>
              <a:t>— </a:t>
            </a:r>
            <a:r>
              <a:rPr lang="ko-KR" altLang="en-US"/>
              <a:t>향후 인식될 매출 규모 비교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팀별_요약!$A$4:$A$7</c:f>
              <c:strCache>
                <c:ptCount val="4"/>
                <c:pt idx="0">
                  <c:v>공공팀</c:v>
                </c:pt>
                <c:pt idx="1">
                  <c:v>금융팀</c:v>
                </c:pt>
                <c:pt idx="2">
                  <c:v>제조1팀</c:v>
                </c:pt>
                <c:pt idx="3">
                  <c:v>제조2팀</c:v>
                </c:pt>
              </c:strCache>
            </c:strRef>
          </c:cat>
          <c:val>
            <c:numRef>
              <c:f>팀별_요약!$B$4:$B$7</c:f>
              <c:numCache>
                <c:formatCode>#,##0</c:formatCode>
                <c:ptCount val="4"/>
                <c:pt idx="0">
                  <c:v>31</c:v>
                </c:pt>
                <c:pt idx="1">
                  <c:v>26</c:v>
                </c:pt>
                <c:pt idx="2">
                  <c:v>34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A-4C6B-BF1E-2ADC7F4A900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팀별_요약!$A$4:$A$7</c:f>
              <c:strCache>
                <c:ptCount val="4"/>
                <c:pt idx="0">
                  <c:v>공공팀</c:v>
                </c:pt>
                <c:pt idx="1">
                  <c:v>금융팀</c:v>
                </c:pt>
                <c:pt idx="2">
                  <c:v>제조1팀</c:v>
                </c:pt>
                <c:pt idx="3">
                  <c:v>제조2팀</c:v>
                </c:pt>
              </c:strCache>
            </c:strRef>
          </c:cat>
          <c:val>
            <c:numRef>
              <c:f>팀별_요약!$C$4:$C$7</c:f>
              <c:numCache>
                <c:formatCode>#,##0</c:formatCode>
                <c:ptCount val="4"/>
                <c:pt idx="0">
                  <c:v>15408</c:v>
                </c:pt>
                <c:pt idx="1">
                  <c:v>11668</c:v>
                </c:pt>
                <c:pt idx="2">
                  <c:v>18642</c:v>
                </c:pt>
                <c:pt idx="3">
                  <c:v>15282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9A-4C6B-BF1E-2ADC7F4A900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팀별_요약!$A$4:$A$7</c:f>
              <c:strCache>
                <c:ptCount val="4"/>
                <c:pt idx="0">
                  <c:v>공공팀</c:v>
                </c:pt>
                <c:pt idx="1">
                  <c:v>금융팀</c:v>
                </c:pt>
                <c:pt idx="2">
                  <c:v>제조1팀</c:v>
                </c:pt>
                <c:pt idx="3">
                  <c:v>제조2팀</c:v>
                </c:pt>
              </c:strCache>
            </c:strRef>
          </c:cat>
          <c:val>
            <c:numRef>
              <c:f>팀별_요약!$D$4:$D$7</c:f>
              <c:numCache>
                <c:formatCode>#,##0</c:formatCode>
                <c:ptCount val="4"/>
                <c:pt idx="0">
                  <c:v>1505</c:v>
                </c:pt>
                <c:pt idx="1">
                  <c:v>1077</c:v>
                </c:pt>
                <c:pt idx="2">
                  <c:v>1787</c:v>
                </c:pt>
                <c:pt idx="3">
                  <c:v>1344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9A-4C6B-BF1E-2ADC7F4A900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팀별_요약!$A$4:$A$7</c:f>
              <c:strCache>
                <c:ptCount val="4"/>
                <c:pt idx="0">
                  <c:v>공공팀</c:v>
                </c:pt>
                <c:pt idx="1">
                  <c:v>금융팀</c:v>
                </c:pt>
                <c:pt idx="2">
                  <c:v>제조1팀</c:v>
                </c:pt>
                <c:pt idx="3">
                  <c:v>제조2팀</c:v>
                </c:pt>
              </c:strCache>
            </c:strRef>
          </c:cat>
          <c:val>
            <c:numRef>
              <c:f>팀별_요약!$E$4:$E$7</c:f>
              <c:numCache>
                <c:formatCode>#,##0</c:formatCode>
                <c:ptCount val="4"/>
                <c:pt idx="0">
                  <c:v>4883</c:v>
                </c:pt>
                <c:pt idx="1">
                  <c:v>3616</c:v>
                </c:pt>
                <c:pt idx="2">
                  <c:v>6131</c:v>
                </c:pt>
                <c:pt idx="3">
                  <c:v>4644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9A-4C6B-BF1E-2ADC7F4A900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팀별_요약!$A$4:$A$7</c:f>
              <c:strCache>
                <c:ptCount val="4"/>
                <c:pt idx="0">
                  <c:v>공공팀</c:v>
                </c:pt>
                <c:pt idx="1">
                  <c:v>금융팀</c:v>
                </c:pt>
                <c:pt idx="2">
                  <c:v>제조1팀</c:v>
                </c:pt>
                <c:pt idx="3">
                  <c:v>제조2팀</c:v>
                </c:pt>
              </c:strCache>
            </c:strRef>
          </c:cat>
          <c:val>
            <c:numRef>
              <c:f>팀별_요약!$F$4:$F$7</c:f>
              <c:numCache>
                <c:formatCode>#,##0</c:formatCode>
                <c:ptCount val="4"/>
                <c:pt idx="0">
                  <c:v>10525</c:v>
                </c:pt>
                <c:pt idx="1">
                  <c:v>8052</c:v>
                </c:pt>
                <c:pt idx="2">
                  <c:v>12511</c:v>
                </c:pt>
                <c:pt idx="3">
                  <c:v>10638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9A-4C6B-BF1E-2ADC7F4A9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201032"/>
        <c:axId val="483203080"/>
      </c:barChart>
      <c:catAx>
        <c:axId val="48320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03080"/>
        <c:crosses val="autoZero"/>
        <c:auto val="1"/>
        <c:lblAlgn val="ctr"/>
        <c:lblOffset val="100"/>
        <c:noMultiLvlLbl val="0"/>
      </c:catAx>
      <c:valAx>
        <c:axId val="48320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20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14C6B2-D6AB-C8EB-8A64-60D4C2E44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9DC46-C027-4011-A645-A3ABA62D32A7}" name="ReconTable" displayName="ReconTable" ref="A3:P124" totalsRowShown="0" headerRowDxfId="26" dataDxfId="25">
  <autoFilter ref="A3:P124" xr:uid="{BB49DC46-C027-4011-A645-A3ABA62D32A7}"/>
  <tableColumns count="16">
    <tableColumn id="1" xr3:uid="{194CC111-D8B7-4B3D-B7E0-37C2CDB1E81C}" name="프로젝트코드" dataDxfId="24"/>
    <tableColumn id="2" xr3:uid="{648E641C-E19D-4A6A-A064-B19E26BB5B05}" name="프로젝트명" dataDxfId="23"/>
    <tableColumn id="3" xr3:uid="{02642ACA-6324-4BA1-AFD2-33EE82FD9E6F}" name="고객사" dataDxfId="22"/>
    <tableColumn id="4" xr3:uid="{50CD7408-7BB2-4885-9A87-A4F106E47678}" name="수행팀" dataDxfId="21"/>
    <tableColumn id="5" xr3:uid="{453EE6D6-02D9-4F18-A1D3-8745B2E871D4}" name="영업담당" dataDxfId="20"/>
    <tableColumn id="6" xr3:uid="{27303DDE-7F84-40CC-B98F-F08B17125F5E}" name="수주일" dataDxfId="19"/>
    <tableColumn id="7" xr3:uid="{D35E6057-C1EA-4FBD-9D0C-02EB4EBB332A}" name="계약금액" dataDxfId="18"/>
    <tableColumn id="8" xr3:uid="{56949ED7-05C2-41CF-B83E-0B15A138B108}" name="계약기간(개월)" dataDxfId="17"/>
    <tableColumn id="9" xr3:uid="{AEC125C7-3AB4-46C0-A8A8-79CDFFFBFCCC}" name="착수예정일" dataDxfId="16"/>
    <tableColumn id="10" xr3:uid="{BAAFDEAF-45C5-414D-B06B-05A2CA3A6D57}" name="착수일(실제)" dataDxfId="15"/>
    <tableColumn id="11" xr3:uid="{C879F5A5-C0AF-4DBB-A5EC-66A2C9173651}" name="진행상태" dataDxfId="14"/>
    <tableColumn id="12" xr3:uid="{7B978F61-95C5-4F00-BD7F-766EFFF75D93}" name="당월인식액(8월)" dataDxfId="13"/>
    <tableColumn id="13" xr3:uid="{F69F60AE-C9C6-4A8C-9171-2B85D2888BE1}" name="누적인식액(~8월)" dataDxfId="12"/>
    <tableColumn id="14" xr3:uid="{55984945-6191-4D2C-944E-99572776C4E0}" name="미인식잔액" dataDxfId="11"/>
    <tableColumn id="15" xr3:uid="{D749F7D0-D19F-420E-B88C-26F148AE61DE}" name="진행률" dataDxfId="10"/>
    <tableColumn id="16" xr3:uid="{A2FEAC41-8E83-4C16-BD70-A1286143DECB}" name="비고" dataDxfId="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396993-DD43-49CE-9484-7E602E00A67C}" name="TeamSummaryTable" displayName="TeamSummaryTable" ref="A3:G8" totalsRowShown="0" headerRowDxfId="8" dataDxfId="7">
  <autoFilter ref="A3:G8" xr:uid="{1B396993-DD43-49CE-9484-7E602E00A67C}"/>
  <tableColumns count="7">
    <tableColumn id="1" xr3:uid="{471090A8-8B60-4567-9574-59F40001CB70}" name="수행팀" dataDxfId="6"/>
    <tableColumn id="2" xr3:uid="{A851039B-3004-4231-99E5-F740E9BD2E9A}" name="수주건수" dataDxfId="5"/>
    <tableColumn id="3" xr3:uid="{76B169C0-F944-4133-9474-938E8DB94122}" name="계약금액" dataDxfId="4"/>
    <tableColumn id="4" xr3:uid="{68AB4334-1A2E-4D1B-BCC7-0067E732E7C4}" name="당월인식액(8월)" dataDxfId="3"/>
    <tableColumn id="5" xr3:uid="{B71DFBB6-6F5D-419C-BF07-AED5ACE222A8}" name="누적인식액(~8월)" dataDxfId="2"/>
    <tableColumn id="6" xr3:uid="{4F04617E-C3F9-4607-87B9-C32D7DA80956}" name="미인식잔액" dataDxfId="1"/>
    <tableColumn id="7" xr3:uid="{0423B911-34B9-4585-AE22-9B81FCCE5A2E}" name="진행률(누적/계약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1.7109375" customWidth="1"/>
    <col min="2" max="2" width="26.7109375" customWidth="1"/>
    <col min="3" max="3" width="15.7109375" customWidth="1"/>
    <col min="4" max="5" width="9.7109375" customWidth="1"/>
    <col min="6" max="6" width="12.7109375" customWidth="1"/>
    <col min="7" max="7" width="11.7109375" customWidth="1"/>
    <col min="8" max="8" width="10.7109375" customWidth="1"/>
    <col min="9" max="10" width="12.7109375" customWidth="1"/>
    <col min="11" max="11" width="9.7109375" customWidth="1"/>
    <col min="12" max="13" width="13.7109375" customWidth="1"/>
    <col min="14" max="14" width="11.7109375" customWidth="1"/>
    <col min="15" max="15" width="9.7109375" customWidth="1"/>
    <col min="16" max="16" width="22.7109375" customWidth="1"/>
  </cols>
  <sheetData>
    <row r="1" spans="1:16" ht="21.7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ht="30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 spans="1:16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>
        <v>46047</v>
      </c>
      <c r="G4" s="4">
        <v>159</v>
      </c>
      <c r="H4" s="5">
        <v>8</v>
      </c>
      <c r="I4" s="3">
        <v>46082</v>
      </c>
      <c r="J4" s="3">
        <v>46082</v>
      </c>
      <c r="K4" s="7" t="s">
        <v>23</v>
      </c>
      <c r="L4" s="4">
        <v>20</v>
      </c>
      <c r="M4" s="4">
        <v>120</v>
      </c>
      <c r="N4" s="4">
        <v>39</v>
      </c>
      <c r="O4" s="6">
        <v>0.75471698113207553</v>
      </c>
      <c r="P4" s="2"/>
    </row>
    <row r="5" spans="1:16">
      <c r="A5" s="2" t="s">
        <v>24</v>
      </c>
      <c r="B5" s="2" t="s">
        <v>25</v>
      </c>
      <c r="C5" s="2" t="s">
        <v>26</v>
      </c>
      <c r="D5" s="2" t="s">
        <v>21</v>
      </c>
      <c r="E5" s="2" t="s">
        <v>27</v>
      </c>
      <c r="F5" s="3">
        <v>46037</v>
      </c>
      <c r="G5" s="4">
        <v>889</v>
      </c>
      <c r="H5" s="5">
        <v>16</v>
      </c>
      <c r="I5" s="3">
        <v>46054</v>
      </c>
      <c r="J5" s="3">
        <v>46054</v>
      </c>
      <c r="K5" s="7" t="s">
        <v>23</v>
      </c>
      <c r="L5" s="4">
        <v>56</v>
      </c>
      <c r="M5" s="4">
        <v>392</v>
      </c>
      <c r="N5" s="4">
        <v>497</v>
      </c>
      <c r="O5" s="6">
        <v>0.44094488188976377</v>
      </c>
      <c r="P5" s="2"/>
    </row>
    <row r="6" spans="1:16">
      <c r="A6" s="2" t="s">
        <v>28</v>
      </c>
      <c r="B6" s="2" t="s">
        <v>29</v>
      </c>
      <c r="C6" s="2" t="s">
        <v>30</v>
      </c>
      <c r="D6" s="2" t="s">
        <v>21</v>
      </c>
      <c r="E6" s="2" t="s">
        <v>31</v>
      </c>
      <c r="F6" s="3">
        <v>46042</v>
      </c>
      <c r="G6" s="4">
        <v>570</v>
      </c>
      <c r="H6" s="5">
        <v>18</v>
      </c>
      <c r="I6" s="3">
        <v>46082</v>
      </c>
      <c r="J6" s="3">
        <v>46082</v>
      </c>
      <c r="K6" s="7" t="s">
        <v>23</v>
      </c>
      <c r="L6" s="4">
        <v>32</v>
      </c>
      <c r="M6" s="4">
        <v>192</v>
      </c>
      <c r="N6" s="4">
        <v>378</v>
      </c>
      <c r="O6" s="6">
        <v>0.33684210526315789</v>
      </c>
      <c r="P6" s="2"/>
    </row>
    <row r="7" spans="1:16">
      <c r="A7" s="2" t="s">
        <v>32</v>
      </c>
      <c r="B7" s="2" t="s">
        <v>33</v>
      </c>
      <c r="C7" s="2" t="s">
        <v>30</v>
      </c>
      <c r="D7" s="2" t="s">
        <v>21</v>
      </c>
      <c r="E7" s="2" t="s">
        <v>27</v>
      </c>
      <c r="F7" s="3">
        <v>46069</v>
      </c>
      <c r="G7" s="4">
        <v>320</v>
      </c>
      <c r="H7" s="5">
        <v>18</v>
      </c>
      <c r="I7" s="3">
        <v>46113</v>
      </c>
      <c r="J7" s="3">
        <v>46113</v>
      </c>
      <c r="K7" s="7" t="s">
        <v>23</v>
      </c>
      <c r="L7" s="4">
        <v>18</v>
      </c>
      <c r="M7" s="4">
        <v>90</v>
      </c>
      <c r="N7" s="4">
        <v>230</v>
      </c>
      <c r="O7" s="6">
        <v>0.28125</v>
      </c>
      <c r="P7" s="2"/>
    </row>
    <row r="8" spans="1:16">
      <c r="A8" s="2" t="s">
        <v>34</v>
      </c>
      <c r="B8" s="2" t="s">
        <v>35</v>
      </c>
      <c r="C8" s="2" t="s">
        <v>36</v>
      </c>
      <c r="D8" s="2" t="s">
        <v>21</v>
      </c>
      <c r="E8" s="2" t="s">
        <v>22</v>
      </c>
      <c r="F8" s="3">
        <v>46058</v>
      </c>
      <c r="G8" s="4">
        <v>1016</v>
      </c>
      <c r="H8" s="5">
        <v>10</v>
      </c>
      <c r="I8" s="3">
        <v>46143</v>
      </c>
      <c r="J8" s="3">
        <v>46143</v>
      </c>
      <c r="K8" s="7" t="s">
        <v>23</v>
      </c>
      <c r="L8" s="4">
        <v>102</v>
      </c>
      <c r="M8" s="4">
        <v>408</v>
      </c>
      <c r="N8" s="4">
        <v>608</v>
      </c>
      <c r="O8" s="6">
        <v>0.40157480314960631</v>
      </c>
      <c r="P8" s="2"/>
    </row>
    <row r="9" spans="1:16">
      <c r="A9" s="2" t="s">
        <v>37</v>
      </c>
      <c r="B9" s="2" t="s">
        <v>38</v>
      </c>
      <c r="C9" s="2" t="s">
        <v>26</v>
      </c>
      <c r="D9" s="2" t="s">
        <v>21</v>
      </c>
      <c r="E9" s="2" t="s">
        <v>22</v>
      </c>
      <c r="F9" s="3">
        <v>46060</v>
      </c>
      <c r="G9" s="4">
        <v>143</v>
      </c>
      <c r="H9" s="5">
        <v>10</v>
      </c>
      <c r="I9" s="3">
        <v>46082</v>
      </c>
      <c r="J9" s="3">
        <v>46082</v>
      </c>
      <c r="K9" s="7" t="s">
        <v>23</v>
      </c>
      <c r="L9" s="4">
        <v>14</v>
      </c>
      <c r="M9" s="4">
        <v>84</v>
      </c>
      <c r="N9" s="4">
        <v>59</v>
      </c>
      <c r="O9" s="6">
        <v>0.58741258741258739</v>
      </c>
      <c r="P9" s="2"/>
    </row>
    <row r="10" spans="1:16">
      <c r="A10" s="2" t="s">
        <v>39</v>
      </c>
      <c r="B10" s="2" t="s">
        <v>40</v>
      </c>
      <c r="C10" s="2" t="s">
        <v>20</v>
      </c>
      <c r="D10" s="2" t="s">
        <v>21</v>
      </c>
      <c r="E10" s="2" t="s">
        <v>31</v>
      </c>
      <c r="F10" s="3">
        <v>46074</v>
      </c>
      <c r="G10" s="4">
        <v>370</v>
      </c>
      <c r="H10" s="5">
        <v>8</v>
      </c>
      <c r="I10" s="3">
        <v>46113</v>
      </c>
      <c r="J10" s="3">
        <v>46113</v>
      </c>
      <c r="K10" s="7" t="s">
        <v>23</v>
      </c>
      <c r="L10" s="4">
        <v>46</v>
      </c>
      <c r="M10" s="4">
        <v>230</v>
      </c>
      <c r="N10" s="4">
        <v>140</v>
      </c>
      <c r="O10" s="6">
        <v>0.6216216216216216</v>
      </c>
      <c r="P10" s="2"/>
    </row>
    <row r="11" spans="1:16">
      <c r="A11" s="2" t="s">
        <v>41</v>
      </c>
      <c r="B11" s="2" t="s">
        <v>42</v>
      </c>
      <c r="C11" s="2" t="s">
        <v>26</v>
      </c>
      <c r="D11" s="2" t="s">
        <v>21</v>
      </c>
      <c r="E11" s="2" t="s">
        <v>31</v>
      </c>
      <c r="F11" s="3">
        <v>46103</v>
      </c>
      <c r="G11" s="4">
        <v>174</v>
      </c>
      <c r="H11" s="5">
        <v>14</v>
      </c>
      <c r="I11" s="3">
        <v>46143</v>
      </c>
      <c r="J11" s="3">
        <v>46143</v>
      </c>
      <c r="K11" s="7" t="s">
        <v>23</v>
      </c>
      <c r="L11" s="4">
        <v>12</v>
      </c>
      <c r="M11" s="4">
        <v>48</v>
      </c>
      <c r="N11" s="4">
        <v>126</v>
      </c>
      <c r="O11" s="6">
        <v>0.27586206896551718</v>
      </c>
      <c r="P11" s="2"/>
    </row>
    <row r="12" spans="1:16">
      <c r="A12" s="2" t="s">
        <v>43</v>
      </c>
      <c r="B12" s="2" t="s">
        <v>44</v>
      </c>
      <c r="C12" s="2" t="s">
        <v>26</v>
      </c>
      <c r="D12" s="2" t="s">
        <v>21</v>
      </c>
      <c r="E12" s="2" t="s">
        <v>22</v>
      </c>
      <c r="F12" s="3">
        <v>46105</v>
      </c>
      <c r="G12" s="4">
        <v>454</v>
      </c>
      <c r="H12" s="5">
        <v>12</v>
      </c>
      <c r="I12" s="3">
        <v>46113</v>
      </c>
      <c r="J12" s="3">
        <v>46113</v>
      </c>
      <c r="K12" s="7" t="s">
        <v>23</v>
      </c>
      <c r="L12" s="4">
        <v>38</v>
      </c>
      <c r="M12" s="4">
        <v>190</v>
      </c>
      <c r="N12" s="4">
        <v>264</v>
      </c>
      <c r="O12" s="6">
        <v>0.41850220264317178</v>
      </c>
      <c r="P12" s="2"/>
    </row>
    <row r="13" spans="1:16">
      <c r="A13" s="2" t="s">
        <v>45</v>
      </c>
      <c r="B13" s="2" t="s">
        <v>46</v>
      </c>
      <c r="C13" s="2" t="s">
        <v>26</v>
      </c>
      <c r="D13" s="2" t="s">
        <v>21</v>
      </c>
      <c r="E13" s="2" t="s">
        <v>31</v>
      </c>
      <c r="F13" s="3">
        <v>46104</v>
      </c>
      <c r="G13" s="4">
        <v>250</v>
      </c>
      <c r="H13" s="5">
        <v>10</v>
      </c>
      <c r="I13" s="3">
        <v>46143</v>
      </c>
      <c r="J13" s="3">
        <v>46143</v>
      </c>
      <c r="K13" s="7" t="s">
        <v>23</v>
      </c>
      <c r="L13" s="4">
        <v>25</v>
      </c>
      <c r="M13" s="4">
        <v>100</v>
      </c>
      <c r="N13" s="4">
        <v>150</v>
      </c>
      <c r="O13" s="6">
        <v>0.4</v>
      </c>
      <c r="P13" s="2"/>
    </row>
    <row r="14" spans="1:16">
      <c r="A14" s="2" t="s">
        <v>47</v>
      </c>
      <c r="B14" s="2" t="s">
        <v>48</v>
      </c>
      <c r="C14" s="2" t="s">
        <v>20</v>
      </c>
      <c r="D14" s="2" t="s">
        <v>21</v>
      </c>
      <c r="E14" s="2" t="s">
        <v>31</v>
      </c>
      <c r="F14" s="3">
        <v>46098</v>
      </c>
      <c r="G14" s="4">
        <v>250</v>
      </c>
      <c r="H14" s="5">
        <v>10</v>
      </c>
      <c r="I14" s="3">
        <v>46113</v>
      </c>
      <c r="J14" s="3">
        <v>46113</v>
      </c>
      <c r="K14" s="7" t="s">
        <v>23</v>
      </c>
      <c r="L14" s="4">
        <v>25</v>
      </c>
      <c r="M14" s="4">
        <v>125</v>
      </c>
      <c r="N14" s="4">
        <v>125</v>
      </c>
      <c r="O14" s="6">
        <v>0.5</v>
      </c>
      <c r="P14" s="2"/>
    </row>
    <row r="15" spans="1:16">
      <c r="A15" s="2" t="s">
        <v>49</v>
      </c>
      <c r="B15" s="2" t="s">
        <v>50</v>
      </c>
      <c r="C15" s="2" t="s">
        <v>36</v>
      </c>
      <c r="D15" s="2" t="s">
        <v>21</v>
      </c>
      <c r="E15" s="2" t="s">
        <v>27</v>
      </c>
      <c r="F15" s="3">
        <v>46087</v>
      </c>
      <c r="G15" s="4">
        <v>513</v>
      </c>
      <c r="H15" s="5">
        <v>16</v>
      </c>
      <c r="I15" s="3">
        <v>46143</v>
      </c>
      <c r="J15" s="3">
        <v>46143</v>
      </c>
      <c r="K15" s="7" t="s">
        <v>23</v>
      </c>
      <c r="L15" s="4">
        <v>32</v>
      </c>
      <c r="M15" s="4">
        <v>128</v>
      </c>
      <c r="N15" s="4">
        <v>385</v>
      </c>
      <c r="O15" s="6">
        <v>0.2495126705653021</v>
      </c>
      <c r="P15" s="2"/>
    </row>
    <row r="16" spans="1:16">
      <c r="A16" s="2" t="s">
        <v>51</v>
      </c>
      <c r="B16" s="2" t="s">
        <v>52</v>
      </c>
      <c r="C16" s="2" t="s">
        <v>36</v>
      </c>
      <c r="D16" s="2" t="s">
        <v>21</v>
      </c>
      <c r="E16" s="2" t="s">
        <v>27</v>
      </c>
      <c r="F16" s="3">
        <v>46099</v>
      </c>
      <c r="G16" s="4">
        <v>320</v>
      </c>
      <c r="H16" s="5">
        <v>6</v>
      </c>
      <c r="I16" s="3">
        <v>46143</v>
      </c>
      <c r="J16" s="3">
        <v>46143</v>
      </c>
      <c r="K16" s="7" t="s">
        <v>23</v>
      </c>
      <c r="L16" s="4">
        <v>53</v>
      </c>
      <c r="M16" s="4">
        <v>212</v>
      </c>
      <c r="N16" s="4">
        <v>108</v>
      </c>
      <c r="O16" s="6">
        <v>0.66249999999999998</v>
      </c>
      <c r="P16" s="2"/>
    </row>
    <row r="17" spans="1:16">
      <c r="A17" s="2" t="s">
        <v>53</v>
      </c>
      <c r="B17" s="2" t="s">
        <v>54</v>
      </c>
      <c r="C17" s="2" t="s">
        <v>20</v>
      </c>
      <c r="D17" s="2" t="s">
        <v>21</v>
      </c>
      <c r="E17" s="2" t="s">
        <v>27</v>
      </c>
      <c r="F17" s="3">
        <v>46092</v>
      </c>
      <c r="G17" s="4">
        <v>225</v>
      </c>
      <c r="H17" s="5">
        <v>12</v>
      </c>
      <c r="I17" s="3">
        <v>46143</v>
      </c>
      <c r="J17" s="3">
        <v>46143</v>
      </c>
      <c r="K17" s="7" t="s">
        <v>23</v>
      </c>
      <c r="L17" s="4">
        <v>19</v>
      </c>
      <c r="M17" s="4">
        <v>76</v>
      </c>
      <c r="N17" s="4">
        <v>149</v>
      </c>
      <c r="O17" s="6">
        <v>0.33777777777777779</v>
      </c>
      <c r="P17" s="2"/>
    </row>
    <row r="18" spans="1:16">
      <c r="A18" s="2" t="s">
        <v>55</v>
      </c>
      <c r="B18" s="2" t="s">
        <v>56</v>
      </c>
      <c r="C18" s="2" t="s">
        <v>57</v>
      </c>
      <c r="D18" s="2" t="s">
        <v>21</v>
      </c>
      <c r="E18" s="2" t="s">
        <v>31</v>
      </c>
      <c r="F18" s="3">
        <v>46127</v>
      </c>
      <c r="G18" s="4">
        <v>260</v>
      </c>
      <c r="H18" s="5">
        <v>9</v>
      </c>
      <c r="I18" s="3">
        <v>46174</v>
      </c>
      <c r="J18" s="3">
        <v>46174</v>
      </c>
      <c r="K18" s="7" t="s">
        <v>23</v>
      </c>
      <c r="L18" s="4">
        <v>29</v>
      </c>
      <c r="M18" s="4">
        <v>87</v>
      </c>
      <c r="N18" s="4">
        <v>173</v>
      </c>
      <c r="O18" s="6">
        <v>0.33461538461538459</v>
      </c>
      <c r="P18" s="2"/>
    </row>
    <row r="19" spans="1:16">
      <c r="A19" s="2" t="s">
        <v>58</v>
      </c>
      <c r="B19" s="2" t="s">
        <v>59</v>
      </c>
      <c r="C19" s="2" t="s">
        <v>57</v>
      </c>
      <c r="D19" s="2" t="s">
        <v>21</v>
      </c>
      <c r="E19" s="2" t="s">
        <v>31</v>
      </c>
      <c r="F19" s="3">
        <v>46121</v>
      </c>
      <c r="G19" s="4">
        <v>1051</v>
      </c>
      <c r="H19" s="5">
        <v>7</v>
      </c>
      <c r="I19" s="3">
        <v>46143</v>
      </c>
      <c r="J19" s="3">
        <v>46143</v>
      </c>
      <c r="K19" s="7" t="s">
        <v>23</v>
      </c>
      <c r="L19" s="4">
        <v>150</v>
      </c>
      <c r="M19" s="4">
        <v>600</v>
      </c>
      <c r="N19" s="4">
        <v>451</v>
      </c>
      <c r="O19" s="6">
        <v>0.57088487155090395</v>
      </c>
      <c r="P19" s="2"/>
    </row>
    <row r="20" spans="1:16">
      <c r="A20" s="2" t="s">
        <v>60</v>
      </c>
      <c r="B20" s="2" t="s">
        <v>61</v>
      </c>
      <c r="C20" s="2" t="s">
        <v>57</v>
      </c>
      <c r="D20" s="2" t="s">
        <v>21</v>
      </c>
      <c r="E20" s="2" t="s">
        <v>27</v>
      </c>
      <c r="F20" s="3">
        <v>46126</v>
      </c>
      <c r="G20" s="4">
        <v>600</v>
      </c>
      <c r="H20" s="5">
        <v>8</v>
      </c>
      <c r="I20" s="3">
        <v>46143</v>
      </c>
      <c r="J20" s="3">
        <v>46143</v>
      </c>
      <c r="K20" s="7" t="s">
        <v>23</v>
      </c>
      <c r="L20" s="4">
        <v>75</v>
      </c>
      <c r="M20" s="4">
        <v>300</v>
      </c>
      <c r="N20" s="4">
        <v>300</v>
      </c>
      <c r="O20" s="6">
        <v>0.5</v>
      </c>
      <c r="P20" s="2"/>
    </row>
    <row r="21" spans="1:16">
      <c r="A21" s="2" t="s">
        <v>62</v>
      </c>
      <c r="B21" s="2" t="s">
        <v>63</v>
      </c>
      <c r="C21" s="2" t="s">
        <v>30</v>
      </c>
      <c r="D21" s="2" t="s">
        <v>21</v>
      </c>
      <c r="E21" s="2" t="s">
        <v>31</v>
      </c>
      <c r="F21" s="3">
        <v>46158</v>
      </c>
      <c r="G21" s="4">
        <v>152</v>
      </c>
      <c r="H21" s="5">
        <v>12</v>
      </c>
      <c r="I21" s="3">
        <v>46235</v>
      </c>
      <c r="J21" s="3">
        <v>46235</v>
      </c>
      <c r="K21" s="7" t="s">
        <v>23</v>
      </c>
      <c r="L21" s="4">
        <v>13</v>
      </c>
      <c r="M21" s="4">
        <v>13</v>
      </c>
      <c r="N21" s="4">
        <v>139</v>
      </c>
      <c r="O21" s="6">
        <v>8.5526315789473603E-2</v>
      </c>
      <c r="P21" s="2"/>
    </row>
    <row r="22" spans="1:16">
      <c r="A22" s="2" t="s">
        <v>64</v>
      </c>
      <c r="B22" s="2" t="s">
        <v>46</v>
      </c>
      <c r="C22" s="2" t="s">
        <v>26</v>
      </c>
      <c r="D22" s="2" t="s">
        <v>21</v>
      </c>
      <c r="E22" s="2" t="s">
        <v>31</v>
      </c>
      <c r="F22" s="3">
        <v>46159</v>
      </c>
      <c r="G22" s="4">
        <v>315</v>
      </c>
      <c r="H22" s="5">
        <v>8</v>
      </c>
      <c r="I22" s="3">
        <v>46174</v>
      </c>
      <c r="J22" s="3">
        <v>46174</v>
      </c>
      <c r="K22" s="7" t="s">
        <v>23</v>
      </c>
      <c r="L22" s="4">
        <v>39</v>
      </c>
      <c r="M22" s="4">
        <v>117</v>
      </c>
      <c r="N22" s="4">
        <v>198</v>
      </c>
      <c r="O22" s="6">
        <v>0.37142857142857139</v>
      </c>
      <c r="P22" s="2"/>
    </row>
    <row r="23" spans="1:16">
      <c r="A23" s="2" t="s">
        <v>65</v>
      </c>
      <c r="B23" s="2" t="s">
        <v>66</v>
      </c>
      <c r="C23" s="2" t="s">
        <v>26</v>
      </c>
      <c r="D23" s="2" t="s">
        <v>21</v>
      </c>
      <c r="E23" s="2" t="s">
        <v>31</v>
      </c>
      <c r="F23" s="3">
        <v>46145</v>
      </c>
      <c r="G23" s="4">
        <v>414</v>
      </c>
      <c r="H23" s="5">
        <v>16</v>
      </c>
      <c r="I23" s="3">
        <v>46174</v>
      </c>
      <c r="J23" s="3">
        <v>46174</v>
      </c>
      <c r="K23" s="7" t="s">
        <v>23</v>
      </c>
      <c r="L23" s="4">
        <v>26</v>
      </c>
      <c r="M23" s="4">
        <v>78</v>
      </c>
      <c r="N23" s="4">
        <v>336</v>
      </c>
      <c r="O23" s="6">
        <v>0.1884057971014492</v>
      </c>
      <c r="P23" s="2"/>
    </row>
    <row r="24" spans="1:16">
      <c r="A24" s="2" t="s">
        <v>67</v>
      </c>
      <c r="B24" s="2" t="s">
        <v>63</v>
      </c>
      <c r="C24" s="2" t="s">
        <v>30</v>
      </c>
      <c r="D24" s="2" t="s">
        <v>21</v>
      </c>
      <c r="E24" s="2" t="s">
        <v>31</v>
      </c>
      <c r="F24" s="3">
        <v>46157</v>
      </c>
      <c r="G24" s="4">
        <v>1002</v>
      </c>
      <c r="H24" s="5">
        <v>6</v>
      </c>
      <c r="I24" s="3">
        <v>46204</v>
      </c>
      <c r="J24" s="3">
        <v>46204</v>
      </c>
      <c r="K24" s="7" t="s">
        <v>23</v>
      </c>
      <c r="L24" s="4">
        <v>167</v>
      </c>
      <c r="M24" s="4">
        <v>334</v>
      </c>
      <c r="N24" s="4">
        <v>668</v>
      </c>
      <c r="O24" s="6">
        <v>0.33333333333333331</v>
      </c>
      <c r="P24" s="2"/>
    </row>
    <row r="25" spans="1:16">
      <c r="A25" s="2" t="s">
        <v>68</v>
      </c>
      <c r="B25" s="2" t="s">
        <v>25</v>
      </c>
      <c r="C25" s="2" t="s">
        <v>26</v>
      </c>
      <c r="D25" s="2" t="s">
        <v>21</v>
      </c>
      <c r="E25" s="2" t="s">
        <v>27</v>
      </c>
      <c r="F25" s="3">
        <v>46187</v>
      </c>
      <c r="G25" s="4">
        <v>303</v>
      </c>
      <c r="H25" s="5">
        <v>18</v>
      </c>
      <c r="I25" s="3">
        <v>46204</v>
      </c>
      <c r="J25" s="3">
        <v>46204</v>
      </c>
      <c r="K25" s="7" t="s">
        <v>23</v>
      </c>
      <c r="L25" s="4">
        <v>17</v>
      </c>
      <c r="M25" s="4">
        <v>34</v>
      </c>
      <c r="N25" s="4">
        <v>269</v>
      </c>
      <c r="O25" s="6">
        <v>0.1122112211221122</v>
      </c>
      <c r="P25" s="2"/>
    </row>
    <row r="26" spans="1:16">
      <c r="A26" s="2" t="s">
        <v>69</v>
      </c>
      <c r="B26" s="2" t="s">
        <v>52</v>
      </c>
      <c r="C26" s="2" t="s">
        <v>36</v>
      </c>
      <c r="D26" s="2" t="s">
        <v>21</v>
      </c>
      <c r="E26" s="2" t="s">
        <v>27</v>
      </c>
      <c r="F26" s="3">
        <v>46193</v>
      </c>
      <c r="G26" s="4">
        <v>178</v>
      </c>
      <c r="H26" s="5">
        <v>4</v>
      </c>
      <c r="I26" s="3">
        <v>46204</v>
      </c>
      <c r="J26" s="3">
        <v>46204</v>
      </c>
      <c r="K26" s="7" t="s">
        <v>23</v>
      </c>
      <c r="L26" s="4">
        <v>44</v>
      </c>
      <c r="M26" s="4">
        <v>88</v>
      </c>
      <c r="N26" s="4">
        <v>90</v>
      </c>
      <c r="O26" s="6">
        <v>0.4943820224719101</v>
      </c>
      <c r="P26" s="2"/>
    </row>
    <row r="27" spans="1:16">
      <c r="A27" s="2" t="s">
        <v>70</v>
      </c>
      <c r="B27" s="2" t="s">
        <v>71</v>
      </c>
      <c r="C27" s="2" t="s">
        <v>20</v>
      </c>
      <c r="D27" s="2" t="s">
        <v>21</v>
      </c>
      <c r="E27" s="2" t="s">
        <v>27</v>
      </c>
      <c r="F27" s="3">
        <v>46184</v>
      </c>
      <c r="G27" s="4">
        <v>154</v>
      </c>
      <c r="H27" s="5">
        <v>14</v>
      </c>
      <c r="I27" s="3">
        <v>46266</v>
      </c>
      <c r="J27" s="3"/>
      <c r="K27" s="7" t="s">
        <v>72</v>
      </c>
      <c r="L27" s="4">
        <v>0</v>
      </c>
      <c r="M27" s="4">
        <v>0</v>
      </c>
      <c r="N27" s="4">
        <v>154</v>
      </c>
      <c r="O27" s="6">
        <v>0</v>
      </c>
      <c r="P27" s="2"/>
    </row>
    <row r="28" spans="1:16">
      <c r="A28" s="2" t="s">
        <v>73</v>
      </c>
      <c r="B28" s="2" t="s">
        <v>40</v>
      </c>
      <c r="C28" s="2" t="s">
        <v>20</v>
      </c>
      <c r="D28" s="2" t="s">
        <v>21</v>
      </c>
      <c r="E28" s="2" t="s">
        <v>22</v>
      </c>
      <c r="F28" s="3">
        <v>46178</v>
      </c>
      <c r="G28" s="4">
        <v>1538</v>
      </c>
      <c r="H28" s="5">
        <v>4</v>
      </c>
      <c r="I28" s="3">
        <v>46204</v>
      </c>
      <c r="J28" s="3">
        <v>46204</v>
      </c>
      <c r="K28" s="7" t="s">
        <v>23</v>
      </c>
      <c r="L28" s="4">
        <v>384</v>
      </c>
      <c r="M28" s="4">
        <v>768</v>
      </c>
      <c r="N28" s="4">
        <v>770</v>
      </c>
      <c r="O28" s="6">
        <v>0.4993498049414824</v>
      </c>
      <c r="P28" s="2"/>
    </row>
    <row r="29" spans="1:16">
      <c r="A29" s="2" t="s">
        <v>74</v>
      </c>
      <c r="B29" s="2" t="s">
        <v>42</v>
      </c>
      <c r="C29" s="2" t="s">
        <v>26</v>
      </c>
      <c r="D29" s="2" t="s">
        <v>21</v>
      </c>
      <c r="E29" s="2" t="s">
        <v>31</v>
      </c>
      <c r="F29" s="3">
        <v>46185</v>
      </c>
      <c r="G29" s="4">
        <v>624</v>
      </c>
      <c r="H29" s="5">
        <v>9</v>
      </c>
      <c r="I29" s="3">
        <v>46235</v>
      </c>
      <c r="J29" s="3">
        <v>46235</v>
      </c>
      <c r="K29" s="7" t="s">
        <v>23</v>
      </c>
      <c r="L29" s="4">
        <v>69</v>
      </c>
      <c r="M29" s="4">
        <v>69</v>
      </c>
      <c r="N29" s="4">
        <v>555</v>
      </c>
      <c r="O29" s="6">
        <v>0.110576923076923</v>
      </c>
      <c r="P29" s="2"/>
    </row>
    <row r="30" spans="1:16">
      <c r="A30" s="2" t="s">
        <v>75</v>
      </c>
      <c r="B30" s="2" t="s">
        <v>76</v>
      </c>
      <c r="C30" s="2" t="s">
        <v>30</v>
      </c>
      <c r="D30" s="2" t="s">
        <v>21</v>
      </c>
      <c r="E30" s="2" t="s">
        <v>22</v>
      </c>
      <c r="F30" s="3">
        <v>46212</v>
      </c>
      <c r="G30" s="4">
        <v>1125</v>
      </c>
      <c r="H30" s="5">
        <v>12</v>
      </c>
      <c r="I30" s="3">
        <v>46266</v>
      </c>
      <c r="J30" s="3"/>
      <c r="K30" s="7" t="s">
        <v>72</v>
      </c>
      <c r="L30" s="4">
        <v>0</v>
      </c>
      <c r="M30" s="4">
        <v>0</v>
      </c>
      <c r="N30" s="4">
        <v>1125</v>
      </c>
      <c r="O30" s="6">
        <v>0</v>
      </c>
      <c r="P30" s="2"/>
    </row>
    <row r="31" spans="1:16">
      <c r="A31" s="2" t="s">
        <v>77</v>
      </c>
      <c r="B31" s="2" t="s">
        <v>61</v>
      </c>
      <c r="C31" s="2" t="s">
        <v>57</v>
      </c>
      <c r="D31" s="2" t="s">
        <v>21</v>
      </c>
      <c r="E31" s="2" t="s">
        <v>31</v>
      </c>
      <c r="F31" s="3">
        <v>46218</v>
      </c>
      <c r="G31" s="4">
        <v>921</v>
      </c>
      <c r="H31" s="5">
        <v>12</v>
      </c>
      <c r="I31" s="3">
        <v>46266</v>
      </c>
      <c r="J31" s="3"/>
      <c r="K31" s="7" t="s">
        <v>72</v>
      </c>
      <c r="L31" s="4">
        <v>0</v>
      </c>
      <c r="M31" s="4">
        <v>0</v>
      </c>
      <c r="N31" s="4">
        <v>921</v>
      </c>
      <c r="O31" s="6">
        <v>0</v>
      </c>
      <c r="P31" s="2"/>
    </row>
    <row r="32" spans="1:16">
      <c r="A32" s="2" t="s">
        <v>78</v>
      </c>
      <c r="B32" s="2" t="s">
        <v>79</v>
      </c>
      <c r="C32" s="2" t="s">
        <v>36</v>
      </c>
      <c r="D32" s="2" t="s">
        <v>21</v>
      </c>
      <c r="E32" s="2" t="s">
        <v>31</v>
      </c>
      <c r="F32" s="3">
        <v>46256</v>
      </c>
      <c r="G32" s="4">
        <v>395</v>
      </c>
      <c r="H32" s="5">
        <v>8</v>
      </c>
      <c r="I32" s="3">
        <v>46296</v>
      </c>
      <c r="J32" s="3"/>
      <c r="K32" s="7" t="s">
        <v>72</v>
      </c>
      <c r="L32" s="4">
        <v>0</v>
      </c>
      <c r="M32" s="4">
        <v>0</v>
      </c>
      <c r="N32" s="4">
        <v>395</v>
      </c>
      <c r="O32" s="6">
        <v>0</v>
      </c>
      <c r="P32" s="2"/>
    </row>
    <row r="33" spans="1:16">
      <c r="A33" s="2" t="s">
        <v>80</v>
      </c>
      <c r="B33" s="2" t="s">
        <v>81</v>
      </c>
      <c r="C33" s="2" t="s">
        <v>30</v>
      </c>
      <c r="D33" s="2" t="s">
        <v>21</v>
      </c>
      <c r="E33" s="2" t="s">
        <v>31</v>
      </c>
      <c r="F33" s="3">
        <v>46239</v>
      </c>
      <c r="G33" s="4">
        <v>459</v>
      </c>
      <c r="H33" s="5">
        <v>7</v>
      </c>
      <c r="I33" s="3">
        <v>46266</v>
      </c>
      <c r="J33" s="3"/>
      <c r="K33" s="7" t="s">
        <v>72</v>
      </c>
      <c r="L33" s="4">
        <v>0</v>
      </c>
      <c r="M33" s="4">
        <v>0</v>
      </c>
      <c r="N33" s="4">
        <v>459</v>
      </c>
      <c r="O33" s="6">
        <v>0</v>
      </c>
      <c r="P33" s="2"/>
    </row>
    <row r="34" spans="1:16">
      <c r="A34" s="2" t="s">
        <v>82</v>
      </c>
      <c r="B34" s="2" t="s">
        <v>83</v>
      </c>
      <c r="C34" s="2" t="s">
        <v>20</v>
      </c>
      <c r="D34" s="2" t="s">
        <v>21</v>
      </c>
      <c r="E34" s="2" t="s">
        <v>22</v>
      </c>
      <c r="F34" s="3">
        <v>46261</v>
      </c>
      <c r="G34" s="4">
        <v>264</v>
      </c>
      <c r="H34" s="5">
        <v>7</v>
      </c>
      <c r="I34" s="3">
        <v>46296</v>
      </c>
      <c r="J34" s="3"/>
      <c r="K34" s="7" t="s">
        <v>72</v>
      </c>
      <c r="L34" s="4">
        <v>0</v>
      </c>
      <c r="M34" s="4">
        <v>0</v>
      </c>
      <c r="N34" s="4">
        <v>264</v>
      </c>
      <c r="O34" s="6">
        <v>0</v>
      </c>
      <c r="P34" s="2"/>
    </row>
    <row r="35" spans="1:16">
      <c r="A35" s="2" t="s">
        <v>84</v>
      </c>
      <c r="B35" s="2" t="s">
        <v>85</v>
      </c>
      <c r="C35" s="2" t="s">
        <v>86</v>
      </c>
      <c r="D35" s="2" t="s">
        <v>87</v>
      </c>
      <c r="E35" s="2" t="s">
        <v>88</v>
      </c>
      <c r="F35" s="3">
        <v>46027</v>
      </c>
      <c r="G35" s="4">
        <v>357</v>
      </c>
      <c r="H35" s="5">
        <v>9</v>
      </c>
      <c r="I35" s="3">
        <v>46054</v>
      </c>
      <c r="J35" s="3">
        <v>46054</v>
      </c>
      <c r="K35" s="7" t="s">
        <v>23</v>
      </c>
      <c r="L35" s="4">
        <v>40</v>
      </c>
      <c r="M35" s="4">
        <v>280</v>
      </c>
      <c r="N35" s="4">
        <v>77</v>
      </c>
      <c r="O35" s="6">
        <v>0.78431372549019607</v>
      </c>
      <c r="P35" s="2" t="s">
        <v>89</v>
      </c>
    </row>
    <row r="36" spans="1:16">
      <c r="A36" s="2" t="s">
        <v>90</v>
      </c>
      <c r="B36" s="2" t="s">
        <v>91</v>
      </c>
      <c r="C36" s="2" t="s">
        <v>92</v>
      </c>
      <c r="D36" s="2" t="s">
        <v>87</v>
      </c>
      <c r="E36" s="2" t="s">
        <v>88</v>
      </c>
      <c r="F36" s="3">
        <v>46038</v>
      </c>
      <c r="G36" s="4">
        <v>380</v>
      </c>
      <c r="H36" s="5">
        <v>7</v>
      </c>
      <c r="I36" s="3">
        <v>46054</v>
      </c>
      <c r="J36" s="3">
        <v>46054</v>
      </c>
      <c r="K36" s="7" t="s">
        <v>93</v>
      </c>
      <c r="L36" s="4">
        <v>56</v>
      </c>
      <c r="M36" s="4">
        <v>380</v>
      </c>
      <c r="N36" s="4">
        <v>0</v>
      </c>
      <c r="O36" s="6">
        <v>1</v>
      </c>
      <c r="P36" s="2" t="s">
        <v>94</v>
      </c>
    </row>
    <row r="37" spans="1:16">
      <c r="A37" s="2" t="s">
        <v>95</v>
      </c>
      <c r="B37" s="2" t="s">
        <v>96</v>
      </c>
      <c r="C37" s="2" t="s">
        <v>86</v>
      </c>
      <c r="D37" s="2" t="s">
        <v>87</v>
      </c>
      <c r="E37" s="2" t="s">
        <v>88</v>
      </c>
      <c r="F37" s="3">
        <v>46035</v>
      </c>
      <c r="G37" s="4">
        <v>316</v>
      </c>
      <c r="H37" s="5">
        <v>12</v>
      </c>
      <c r="I37" s="3">
        <v>46113</v>
      </c>
      <c r="J37" s="3">
        <v>46113</v>
      </c>
      <c r="K37" s="7" t="s">
        <v>23</v>
      </c>
      <c r="L37" s="4">
        <v>26</v>
      </c>
      <c r="M37" s="4">
        <v>130</v>
      </c>
      <c r="N37" s="4">
        <v>186</v>
      </c>
      <c r="O37" s="6">
        <v>0.41139240506329111</v>
      </c>
      <c r="P37" s="2"/>
    </row>
    <row r="38" spans="1:16">
      <c r="A38" s="2" t="s">
        <v>97</v>
      </c>
      <c r="B38" s="2" t="s">
        <v>98</v>
      </c>
      <c r="C38" s="2" t="s">
        <v>99</v>
      </c>
      <c r="D38" s="2" t="s">
        <v>87</v>
      </c>
      <c r="E38" s="2" t="s">
        <v>100</v>
      </c>
      <c r="F38" s="3">
        <v>46074</v>
      </c>
      <c r="G38" s="4">
        <v>266</v>
      </c>
      <c r="H38" s="5">
        <v>8</v>
      </c>
      <c r="I38" s="3">
        <v>46082</v>
      </c>
      <c r="J38" s="3">
        <v>46082</v>
      </c>
      <c r="K38" s="7" t="s">
        <v>23</v>
      </c>
      <c r="L38" s="4">
        <v>33</v>
      </c>
      <c r="M38" s="4">
        <v>198</v>
      </c>
      <c r="N38" s="4">
        <v>68</v>
      </c>
      <c r="O38" s="6">
        <v>0.74436090225563911</v>
      </c>
      <c r="P38" s="2"/>
    </row>
    <row r="39" spans="1:16">
      <c r="A39" s="2" t="s">
        <v>101</v>
      </c>
      <c r="B39" s="2" t="s">
        <v>102</v>
      </c>
      <c r="C39" s="2" t="s">
        <v>103</v>
      </c>
      <c r="D39" s="2" t="s">
        <v>87</v>
      </c>
      <c r="E39" s="2" t="s">
        <v>88</v>
      </c>
      <c r="F39" s="3">
        <v>46057</v>
      </c>
      <c r="G39" s="4">
        <v>632</v>
      </c>
      <c r="H39" s="5">
        <v>10</v>
      </c>
      <c r="I39" s="3">
        <v>46082</v>
      </c>
      <c r="J39" s="3">
        <v>46082</v>
      </c>
      <c r="K39" s="7" t="s">
        <v>23</v>
      </c>
      <c r="L39" s="4">
        <v>63</v>
      </c>
      <c r="M39" s="4">
        <v>378</v>
      </c>
      <c r="N39" s="4">
        <v>254</v>
      </c>
      <c r="O39" s="6">
        <v>0.59810126582278478</v>
      </c>
      <c r="P39" s="2"/>
    </row>
    <row r="40" spans="1:16">
      <c r="A40" s="2" t="s">
        <v>104</v>
      </c>
      <c r="B40" s="2" t="s">
        <v>105</v>
      </c>
      <c r="C40" s="2" t="s">
        <v>92</v>
      </c>
      <c r="D40" s="2" t="s">
        <v>87</v>
      </c>
      <c r="E40" s="2" t="s">
        <v>100</v>
      </c>
      <c r="F40" s="3">
        <v>46077</v>
      </c>
      <c r="G40" s="4">
        <v>252</v>
      </c>
      <c r="H40" s="5">
        <v>14</v>
      </c>
      <c r="I40" s="3">
        <v>46113</v>
      </c>
      <c r="J40" s="3">
        <v>46113</v>
      </c>
      <c r="K40" s="7" t="s">
        <v>23</v>
      </c>
      <c r="L40" s="4">
        <v>18</v>
      </c>
      <c r="M40" s="4">
        <v>90</v>
      </c>
      <c r="N40" s="4">
        <v>162</v>
      </c>
      <c r="O40" s="6">
        <v>0.3571428571428571</v>
      </c>
      <c r="P40" s="2"/>
    </row>
    <row r="41" spans="1:16">
      <c r="A41" s="2" t="s">
        <v>106</v>
      </c>
      <c r="B41" s="2" t="s">
        <v>107</v>
      </c>
      <c r="C41" s="2" t="s">
        <v>99</v>
      </c>
      <c r="D41" s="2" t="s">
        <v>87</v>
      </c>
      <c r="E41" s="2" t="s">
        <v>88</v>
      </c>
      <c r="F41" s="3">
        <v>46095</v>
      </c>
      <c r="G41" s="4">
        <v>151</v>
      </c>
      <c r="H41" s="5">
        <v>5</v>
      </c>
      <c r="I41" s="3">
        <v>46143</v>
      </c>
      <c r="J41" s="3">
        <v>46143</v>
      </c>
      <c r="K41" s="7" t="s">
        <v>23</v>
      </c>
      <c r="L41" s="4">
        <v>30</v>
      </c>
      <c r="M41" s="4">
        <v>120</v>
      </c>
      <c r="N41" s="4">
        <v>31</v>
      </c>
      <c r="O41" s="6">
        <v>0.79470198675496684</v>
      </c>
      <c r="P41" s="2"/>
    </row>
    <row r="42" spans="1:16">
      <c r="A42" s="2" t="s">
        <v>108</v>
      </c>
      <c r="B42" s="2" t="s">
        <v>109</v>
      </c>
      <c r="C42" s="2" t="s">
        <v>110</v>
      </c>
      <c r="D42" s="2" t="s">
        <v>87</v>
      </c>
      <c r="E42" s="2" t="s">
        <v>100</v>
      </c>
      <c r="F42" s="3">
        <v>46096</v>
      </c>
      <c r="G42" s="4">
        <v>1164</v>
      </c>
      <c r="H42" s="5">
        <v>7</v>
      </c>
      <c r="I42" s="3">
        <v>46143</v>
      </c>
      <c r="J42" s="3">
        <v>46143</v>
      </c>
      <c r="K42" s="7" t="s">
        <v>23</v>
      </c>
      <c r="L42" s="4">
        <v>166</v>
      </c>
      <c r="M42" s="4">
        <v>664</v>
      </c>
      <c r="N42" s="4">
        <v>500</v>
      </c>
      <c r="O42" s="6">
        <v>0.57044673539518898</v>
      </c>
      <c r="P42" s="2"/>
    </row>
    <row r="43" spans="1:16">
      <c r="A43" s="2" t="s">
        <v>111</v>
      </c>
      <c r="B43" s="2" t="s">
        <v>112</v>
      </c>
      <c r="C43" s="2" t="s">
        <v>99</v>
      </c>
      <c r="D43" s="2" t="s">
        <v>87</v>
      </c>
      <c r="E43" s="2" t="s">
        <v>100</v>
      </c>
      <c r="F43" s="3">
        <v>46098</v>
      </c>
      <c r="G43" s="4">
        <v>540</v>
      </c>
      <c r="H43" s="5">
        <v>6</v>
      </c>
      <c r="I43" s="3">
        <v>46174</v>
      </c>
      <c r="J43" s="3">
        <v>46174</v>
      </c>
      <c r="K43" s="7" t="s">
        <v>23</v>
      </c>
      <c r="L43" s="4">
        <v>90</v>
      </c>
      <c r="M43" s="4">
        <v>270</v>
      </c>
      <c r="N43" s="4">
        <v>270</v>
      </c>
      <c r="O43" s="6">
        <v>0.5</v>
      </c>
      <c r="P43" s="2"/>
    </row>
    <row r="44" spans="1:16">
      <c r="A44" s="2" t="s">
        <v>113</v>
      </c>
      <c r="B44" s="2" t="s">
        <v>105</v>
      </c>
      <c r="C44" s="2" t="s">
        <v>92</v>
      </c>
      <c r="D44" s="2" t="s">
        <v>87</v>
      </c>
      <c r="E44" s="2" t="s">
        <v>88</v>
      </c>
      <c r="F44" s="3">
        <v>46100</v>
      </c>
      <c r="G44" s="4">
        <v>262</v>
      </c>
      <c r="H44" s="5">
        <v>7</v>
      </c>
      <c r="I44" s="3">
        <v>46113</v>
      </c>
      <c r="J44" s="3">
        <v>46113</v>
      </c>
      <c r="K44" s="7" t="s">
        <v>23</v>
      </c>
      <c r="L44" s="4">
        <v>37</v>
      </c>
      <c r="M44" s="4">
        <v>185</v>
      </c>
      <c r="N44" s="4">
        <v>77</v>
      </c>
      <c r="O44" s="6">
        <v>0.70610687022900764</v>
      </c>
      <c r="P44" s="2"/>
    </row>
    <row r="45" spans="1:16">
      <c r="A45" s="2" t="s">
        <v>114</v>
      </c>
      <c r="B45" s="2" t="s">
        <v>115</v>
      </c>
      <c r="C45" s="2" t="s">
        <v>110</v>
      </c>
      <c r="D45" s="2" t="s">
        <v>87</v>
      </c>
      <c r="E45" s="2" t="s">
        <v>100</v>
      </c>
      <c r="F45" s="3">
        <v>46137</v>
      </c>
      <c r="G45" s="4">
        <v>532</v>
      </c>
      <c r="H45" s="5">
        <v>18</v>
      </c>
      <c r="I45" s="3">
        <v>46143</v>
      </c>
      <c r="J45" s="3">
        <v>46143</v>
      </c>
      <c r="K45" s="7" t="s">
        <v>23</v>
      </c>
      <c r="L45" s="4">
        <v>30</v>
      </c>
      <c r="M45" s="4">
        <v>120</v>
      </c>
      <c r="N45" s="4">
        <v>412</v>
      </c>
      <c r="O45" s="6">
        <v>0.22556390977443599</v>
      </c>
      <c r="P45" s="2"/>
    </row>
    <row r="46" spans="1:16">
      <c r="A46" s="2" t="s">
        <v>116</v>
      </c>
      <c r="B46" s="2" t="s">
        <v>107</v>
      </c>
      <c r="C46" s="2" t="s">
        <v>99</v>
      </c>
      <c r="D46" s="2" t="s">
        <v>87</v>
      </c>
      <c r="E46" s="2" t="s">
        <v>100</v>
      </c>
      <c r="F46" s="3">
        <v>46115</v>
      </c>
      <c r="G46" s="4">
        <v>378</v>
      </c>
      <c r="H46" s="5">
        <v>7</v>
      </c>
      <c r="I46" s="3">
        <v>46174</v>
      </c>
      <c r="J46" s="3">
        <v>46174</v>
      </c>
      <c r="K46" s="7" t="s">
        <v>23</v>
      </c>
      <c r="L46" s="4">
        <v>54</v>
      </c>
      <c r="M46" s="4">
        <v>162</v>
      </c>
      <c r="N46" s="4">
        <v>216</v>
      </c>
      <c r="O46" s="6">
        <v>0.42857142857142849</v>
      </c>
      <c r="P46" s="2"/>
    </row>
    <row r="47" spans="1:16">
      <c r="A47" s="2" t="s">
        <v>117</v>
      </c>
      <c r="B47" s="2" t="s">
        <v>118</v>
      </c>
      <c r="C47" s="2" t="s">
        <v>92</v>
      </c>
      <c r="D47" s="2" t="s">
        <v>87</v>
      </c>
      <c r="E47" s="2" t="s">
        <v>88</v>
      </c>
      <c r="F47" s="3">
        <v>46119</v>
      </c>
      <c r="G47" s="4">
        <v>357</v>
      </c>
      <c r="H47" s="5">
        <v>8</v>
      </c>
      <c r="I47" s="3">
        <v>46204</v>
      </c>
      <c r="J47" s="3">
        <v>46204</v>
      </c>
      <c r="K47" s="7" t="s">
        <v>23</v>
      </c>
      <c r="L47" s="4">
        <v>45</v>
      </c>
      <c r="M47" s="4">
        <v>90</v>
      </c>
      <c r="N47" s="4">
        <v>267</v>
      </c>
      <c r="O47" s="6">
        <v>0.25210084033613439</v>
      </c>
      <c r="P47" s="2"/>
    </row>
    <row r="48" spans="1:16">
      <c r="A48" s="2" t="s">
        <v>119</v>
      </c>
      <c r="B48" s="2" t="s">
        <v>118</v>
      </c>
      <c r="C48" s="2" t="s">
        <v>92</v>
      </c>
      <c r="D48" s="2" t="s">
        <v>87</v>
      </c>
      <c r="E48" s="2" t="s">
        <v>88</v>
      </c>
      <c r="F48" s="3">
        <v>46160</v>
      </c>
      <c r="G48" s="4">
        <v>905</v>
      </c>
      <c r="H48" s="5">
        <v>6</v>
      </c>
      <c r="I48" s="3">
        <v>46235</v>
      </c>
      <c r="J48" s="3">
        <v>46235</v>
      </c>
      <c r="K48" s="7" t="s">
        <v>23</v>
      </c>
      <c r="L48" s="4">
        <v>151</v>
      </c>
      <c r="M48" s="4">
        <v>151</v>
      </c>
      <c r="N48" s="4">
        <v>754</v>
      </c>
      <c r="O48" s="6">
        <v>0.1668508287292817</v>
      </c>
      <c r="P48" s="2"/>
    </row>
    <row r="49" spans="1:16">
      <c r="A49" s="2" t="s">
        <v>120</v>
      </c>
      <c r="B49" s="2" t="s">
        <v>121</v>
      </c>
      <c r="C49" s="2" t="s">
        <v>92</v>
      </c>
      <c r="D49" s="2" t="s">
        <v>87</v>
      </c>
      <c r="E49" s="2" t="s">
        <v>88</v>
      </c>
      <c r="F49" s="3">
        <v>46165</v>
      </c>
      <c r="G49" s="4">
        <v>742</v>
      </c>
      <c r="H49" s="5">
        <v>9</v>
      </c>
      <c r="I49" s="3">
        <v>46204</v>
      </c>
      <c r="J49" s="3">
        <v>46204</v>
      </c>
      <c r="K49" s="7" t="s">
        <v>23</v>
      </c>
      <c r="L49" s="4">
        <v>82</v>
      </c>
      <c r="M49" s="4">
        <v>164</v>
      </c>
      <c r="N49" s="4">
        <v>578</v>
      </c>
      <c r="O49" s="6">
        <v>0.22102425876010781</v>
      </c>
      <c r="P49" s="2"/>
    </row>
    <row r="50" spans="1:16">
      <c r="A50" s="2" t="s">
        <v>122</v>
      </c>
      <c r="B50" s="2" t="s">
        <v>123</v>
      </c>
      <c r="C50" s="2" t="s">
        <v>110</v>
      </c>
      <c r="D50" s="2" t="s">
        <v>87</v>
      </c>
      <c r="E50" s="2" t="s">
        <v>100</v>
      </c>
      <c r="F50" s="3">
        <v>46197</v>
      </c>
      <c r="G50" s="4">
        <v>331</v>
      </c>
      <c r="H50" s="5">
        <v>18</v>
      </c>
      <c r="I50" s="3">
        <v>46204</v>
      </c>
      <c r="J50" s="3">
        <v>46204</v>
      </c>
      <c r="K50" s="7" t="s">
        <v>23</v>
      </c>
      <c r="L50" s="4">
        <v>18</v>
      </c>
      <c r="M50" s="4">
        <v>36</v>
      </c>
      <c r="N50" s="4">
        <v>295</v>
      </c>
      <c r="O50" s="6">
        <v>0.10876132930513591</v>
      </c>
      <c r="P50" s="2"/>
    </row>
    <row r="51" spans="1:16">
      <c r="A51" s="2" t="s">
        <v>124</v>
      </c>
      <c r="B51" s="2" t="s">
        <v>125</v>
      </c>
      <c r="C51" s="2" t="s">
        <v>110</v>
      </c>
      <c r="D51" s="2" t="s">
        <v>87</v>
      </c>
      <c r="E51" s="2" t="s">
        <v>88</v>
      </c>
      <c r="F51" s="3">
        <v>46190</v>
      </c>
      <c r="G51" s="4">
        <v>410</v>
      </c>
      <c r="H51" s="5">
        <v>11</v>
      </c>
      <c r="I51" s="3">
        <v>46204</v>
      </c>
      <c r="J51" s="3">
        <v>46204</v>
      </c>
      <c r="K51" s="7" t="s">
        <v>23</v>
      </c>
      <c r="L51" s="4">
        <v>37</v>
      </c>
      <c r="M51" s="4">
        <v>74</v>
      </c>
      <c r="N51" s="4">
        <v>336</v>
      </c>
      <c r="O51" s="6">
        <v>0.18048780487804869</v>
      </c>
      <c r="P51" s="2" t="s">
        <v>94</v>
      </c>
    </row>
    <row r="52" spans="1:16">
      <c r="A52" s="2" t="s">
        <v>126</v>
      </c>
      <c r="B52" s="2" t="s">
        <v>127</v>
      </c>
      <c r="C52" s="2" t="s">
        <v>103</v>
      </c>
      <c r="D52" s="2" t="s">
        <v>87</v>
      </c>
      <c r="E52" s="2" t="s">
        <v>88</v>
      </c>
      <c r="F52" s="3">
        <v>46176</v>
      </c>
      <c r="G52" s="4">
        <v>205</v>
      </c>
      <c r="H52" s="5">
        <v>9</v>
      </c>
      <c r="I52" s="3">
        <v>46204</v>
      </c>
      <c r="J52" s="3">
        <v>46204</v>
      </c>
      <c r="K52" s="7" t="s">
        <v>23</v>
      </c>
      <c r="L52" s="4">
        <v>23</v>
      </c>
      <c r="M52" s="4">
        <v>46</v>
      </c>
      <c r="N52" s="4">
        <v>159</v>
      </c>
      <c r="O52" s="6">
        <v>0.224390243902439</v>
      </c>
      <c r="P52" s="2" t="s">
        <v>128</v>
      </c>
    </row>
    <row r="53" spans="1:16">
      <c r="A53" s="2" t="s">
        <v>129</v>
      </c>
      <c r="B53" s="2" t="s">
        <v>105</v>
      </c>
      <c r="C53" s="2" t="s">
        <v>92</v>
      </c>
      <c r="D53" s="2" t="s">
        <v>87</v>
      </c>
      <c r="E53" s="2" t="s">
        <v>88</v>
      </c>
      <c r="F53" s="3">
        <v>46188</v>
      </c>
      <c r="G53" s="4">
        <v>229</v>
      </c>
      <c r="H53" s="5">
        <v>10</v>
      </c>
      <c r="I53" s="3">
        <v>46266</v>
      </c>
      <c r="J53" s="3"/>
      <c r="K53" s="7" t="s">
        <v>72</v>
      </c>
      <c r="L53" s="4">
        <v>0</v>
      </c>
      <c r="M53" s="4">
        <v>0</v>
      </c>
      <c r="N53" s="4">
        <v>229</v>
      </c>
      <c r="O53" s="6">
        <v>0</v>
      </c>
      <c r="P53" s="2"/>
    </row>
    <row r="54" spans="1:16">
      <c r="A54" s="2" t="s">
        <v>130</v>
      </c>
      <c r="B54" s="2" t="s">
        <v>131</v>
      </c>
      <c r="C54" s="2" t="s">
        <v>92</v>
      </c>
      <c r="D54" s="2" t="s">
        <v>87</v>
      </c>
      <c r="E54" s="2" t="s">
        <v>88</v>
      </c>
      <c r="F54" s="3">
        <v>46192</v>
      </c>
      <c r="G54" s="4">
        <v>549</v>
      </c>
      <c r="H54" s="5">
        <v>7</v>
      </c>
      <c r="I54" s="3">
        <v>46235</v>
      </c>
      <c r="J54" s="3">
        <v>46235</v>
      </c>
      <c r="K54" s="7" t="s">
        <v>23</v>
      </c>
      <c r="L54" s="4">
        <v>78</v>
      </c>
      <c r="M54" s="4">
        <v>78</v>
      </c>
      <c r="N54" s="4">
        <v>471</v>
      </c>
      <c r="O54" s="6">
        <v>0.1420765027322404</v>
      </c>
      <c r="P54" s="2"/>
    </row>
    <row r="55" spans="1:16">
      <c r="A55" s="2" t="s">
        <v>132</v>
      </c>
      <c r="B55" s="2" t="s">
        <v>133</v>
      </c>
      <c r="C55" s="2" t="s">
        <v>103</v>
      </c>
      <c r="D55" s="2" t="s">
        <v>87</v>
      </c>
      <c r="E55" s="2" t="s">
        <v>88</v>
      </c>
      <c r="F55" s="3">
        <v>46212</v>
      </c>
      <c r="G55" s="4">
        <v>895</v>
      </c>
      <c r="H55" s="5">
        <v>7</v>
      </c>
      <c r="I55" s="3">
        <v>46266</v>
      </c>
      <c r="J55" s="3"/>
      <c r="K55" s="7" t="s">
        <v>72</v>
      </c>
      <c r="L55" s="4">
        <v>0</v>
      </c>
      <c r="M55" s="4">
        <v>0</v>
      </c>
      <c r="N55" s="4">
        <v>895</v>
      </c>
      <c r="O55" s="6">
        <v>0</v>
      </c>
      <c r="P55" s="2"/>
    </row>
    <row r="56" spans="1:16">
      <c r="A56" s="2" t="s">
        <v>134</v>
      </c>
      <c r="B56" s="2" t="s">
        <v>135</v>
      </c>
      <c r="C56" s="2" t="s">
        <v>103</v>
      </c>
      <c r="D56" s="2" t="s">
        <v>87</v>
      </c>
      <c r="E56" s="2" t="s">
        <v>88</v>
      </c>
      <c r="F56" s="3">
        <v>46223</v>
      </c>
      <c r="G56" s="4">
        <v>496</v>
      </c>
      <c r="H56" s="5">
        <v>8</v>
      </c>
      <c r="I56" s="3">
        <v>46296</v>
      </c>
      <c r="J56" s="3"/>
      <c r="K56" s="7" t="s">
        <v>72</v>
      </c>
      <c r="L56" s="4">
        <v>0</v>
      </c>
      <c r="M56" s="4">
        <v>0</v>
      </c>
      <c r="N56" s="4">
        <v>496</v>
      </c>
      <c r="O56" s="6">
        <v>0</v>
      </c>
      <c r="P56" s="2"/>
    </row>
    <row r="57" spans="1:16">
      <c r="A57" s="2" t="s">
        <v>136</v>
      </c>
      <c r="B57" s="2" t="s">
        <v>137</v>
      </c>
      <c r="C57" s="2" t="s">
        <v>86</v>
      </c>
      <c r="D57" s="2" t="s">
        <v>87</v>
      </c>
      <c r="E57" s="2" t="s">
        <v>100</v>
      </c>
      <c r="F57" s="3">
        <v>46218</v>
      </c>
      <c r="G57" s="4">
        <v>382</v>
      </c>
      <c r="H57" s="5">
        <v>17</v>
      </c>
      <c r="I57" s="3">
        <v>46296</v>
      </c>
      <c r="J57" s="3"/>
      <c r="K57" s="7" t="s">
        <v>72</v>
      </c>
      <c r="L57" s="4">
        <v>0</v>
      </c>
      <c r="M57" s="4">
        <v>0</v>
      </c>
      <c r="N57" s="4">
        <v>382</v>
      </c>
      <c r="O57" s="6">
        <v>0</v>
      </c>
      <c r="P57" s="2" t="s">
        <v>89</v>
      </c>
    </row>
    <row r="58" spans="1:16">
      <c r="A58" s="2" t="s">
        <v>138</v>
      </c>
      <c r="B58" s="2" t="s">
        <v>123</v>
      </c>
      <c r="C58" s="2" t="s">
        <v>110</v>
      </c>
      <c r="D58" s="2" t="s">
        <v>87</v>
      </c>
      <c r="E58" s="2" t="s">
        <v>88</v>
      </c>
      <c r="F58" s="3">
        <v>46258</v>
      </c>
      <c r="G58" s="4">
        <v>515</v>
      </c>
      <c r="H58" s="5">
        <v>10</v>
      </c>
      <c r="I58" s="3">
        <v>46266</v>
      </c>
      <c r="J58" s="3"/>
      <c r="K58" s="7" t="s">
        <v>72</v>
      </c>
      <c r="L58" s="4">
        <v>0</v>
      </c>
      <c r="M58" s="4">
        <v>0</v>
      </c>
      <c r="N58" s="4">
        <v>515</v>
      </c>
      <c r="O58" s="6">
        <v>0</v>
      </c>
      <c r="P58" s="2"/>
    </row>
    <row r="59" spans="1:16">
      <c r="A59" s="2" t="s">
        <v>139</v>
      </c>
      <c r="B59" s="2" t="s">
        <v>109</v>
      </c>
      <c r="C59" s="2" t="s">
        <v>110</v>
      </c>
      <c r="D59" s="2" t="s">
        <v>87</v>
      </c>
      <c r="E59" s="2" t="s">
        <v>88</v>
      </c>
      <c r="F59" s="3">
        <v>46260</v>
      </c>
      <c r="G59" s="4">
        <v>264</v>
      </c>
      <c r="H59" s="5">
        <v>9</v>
      </c>
      <c r="I59" s="3">
        <v>46296</v>
      </c>
      <c r="J59" s="3"/>
      <c r="K59" s="7" t="s">
        <v>72</v>
      </c>
      <c r="L59" s="4">
        <v>0</v>
      </c>
      <c r="M59" s="4">
        <v>0</v>
      </c>
      <c r="N59" s="4">
        <v>264</v>
      </c>
      <c r="O59" s="6">
        <v>0</v>
      </c>
      <c r="P59" s="2"/>
    </row>
    <row r="60" spans="1:16">
      <c r="A60" s="2" t="s">
        <v>140</v>
      </c>
      <c r="B60" s="2" t="s">
        <v>141</v>
      </c>
      <c r="C60" s="2" t="s">
        <v>92</v>
      </c>
      <c r="D60" s="2" t="s">
        <v>87</v>
      </c>
      <c r="E60" s="2" t="s">
        <v>88</v>
      </c>
      <c r="F60" s="3">
        <v>46240</v>
      </c>
      <c r="G60" s="4">
        <v>158</v>
      </c>
      <c r="H60" s="5">
        <v>7</v>
      </c>
      <c r="I60" s="3">
        <v>46266</v>
      </c>
      <c r="J60" s="3"/>
      <c r="K60" s="7" t="s">
        <v>72</v>
      </c>
      <c r="L60" s="4">
        <v>0</v>
      </c>
      <c r="M60" s="4">
        <v>0</v>
      </c>
      <c r="N60" s="4">
        <v>158</v>
      </c>
      <c r="O60" s="6">
        <v>0</v>
      </c>
      <c r="P60" s="2"/>
    </row>
    <row r="61" spans="1:16">
      <c r="A61" s="2" t="s">
        <v>142</v>
      </c>
      <c r="B61" s="2" t="s">
        <v>143</v>
      </c>
      <c r="C61" s="2" t="s">
        <v>144</v>
      </c>
      <c r="D61" s="2" t="s">
        <v>145</v>
      </c>
      <c r="E61" s="2" t="s">
        <v>146</v>
      </c>
      <c r="F61" s="3">
        <v>46035</v>
      </c>
      <c r="G61" s="4">
        <v>495</v>
      </c>
      <c r="H61" s="5">
        <v>14</v>
      </c>
      <c r="I61" s="3">
        <v>46082</v>
      </c>
      <c r="J61" s="3">
        <v>46082</v>
      </c>
      <c r="K61" s="7" t="s">
        <v>23</v>
      </c>
      <c r="L61" s="4">
        <v>35</v>
      </c>
      <c r="M61" s="4">
        <v>210</v>
      </c>
      <c r="N61" s="4">
        <v>285</v>
      </c>
      <c r="O61" s="6">
        <v>0.4242424242424242</v>
      </c>
      <c r="P61" s="2"/>
    </row>
    <row r="62" spans="1:16">
      <c r="A62" s="2" t="s">
        <v>147</v>
      </c>
      <c r="B62" s="2" t="s">
        <v>148</v>
      </c>
      <c r="C62" s="2" t="s">
        <v>149</v>
      </c>
      <c r="D62" s="2" t="s">
        <v>145</v>
      </c>
      <c r="E62" s="2" t="s">
        <v>150</v>
      </c>
      <c r="F62" s="3">
        <v>46033</v>
      </c>
      <c r="G62" s="4">
        <v>423</v>
      </c>
      <c r="H62" s="5">
        <v>7</v>
      </c>
      <c r="I62" s="3">
        <v>46082</v>
      </c>
      <c r="J62" s="3">
        <v>46082</v>
      </c>
      <c r="K62" s="7" t="s">
        <v>23</v>
      </c>
      <c r="L62" s="4">
        <v>60</v>
      </c>
      <c r="M62" s="4">
        <v>360</v>
      </c>
      <c r="N62" s="4">
        <v>63</v>
      </c>
      <c r="O62" s="6">
        <v>0.85106382978723405</v>
      </c>
      <c r="P62" s="2"/>
    </row>
    <row r="63" spans="1:16">
      <c r="A63" s="2" t="s">
        <v>151</v>
      </c>
      <c r="B63" s="2" t="s">
        <v>152</v>
      </c>
      <c r="C63" s="2" t="s">
        <v>153</v>
      </c>
      <c r="D63" s="2" t="s">
        <v>145</v>
      </c>
      <c r="E63" s="2" t="s">
        <v>150</v>
      </c>
      <c r="F63" s="3">
        <v>46049</v>
      </c>
      <c r="G63" s="4">
        <v>240</v>
      </c>
      <c r="H63" s="5">
        <v>9</v>
      </c>
      <c r="I63" s="3">
        <v>46082</v>
      </c>
      <c r="J63" s="3">
        <v>46082</v>
      </c>
      <c r="K63" s="7" t="s">
        <v>23</v>
      </c>
      <c r="L63" s="4">
        <v>27</v>
      </c>
      <c r="M63" s="4">
        <v>162</v>
      </c>
      <c r="N63" s="4">
        <v>78</v>
      </c>
      <c r="O63" s="6">
        <v>0.67500000000000004</v>
      </c>
      <c r="P63" s="2"/>
    </row>
    <row r="64" spans="1:16">
      <c r="A64" s="2" t="s">
        <v>154</v>
      </c>
      <c r="B64" s="2" t="s">
        <v>155</v>
      </c>
      <c r="C64" s="2" t="s">
        <v>156</v>
      </c>
      <c r="D64" s="2" t="s">
        <v>145</v>
      </c>
      <c r="E64" s="2" t="s">
        <v>146</v>
      </c>
      <c r="F64" s="3">
        <v>46048</v>
      </c>
      <c r="G64" s="4">
        <v>809</v>
      </c>
      <c r="H64" s="5">
        <v>9</v>
      </c>
      <c r="I64" s="3">
        <v>46082</v>
      </c>
      <c r="J64" s="3">
        <v>46082</v>
      </c>
      <c r="K64" s="7" t="s">
        <v>23</v>
      </c>
      <c r="L64" s="4">
        <v>90</v>
      </c>
      <c r="M64" s="4">
        <v>540</v>
      </c>
      <c r="N64" s="4">
        <v>269</v>
      </c>
      <c r="O64" s="6">
        <v>0.66749072929542641</v>
      </c>
      <c r="P64" s="2"/>
    </row>
    <row r="65" spans="1:16">
      <c r="A65" s="2" t="s">
        <v>157</v>
      </c>
      <c r="B65" s="2" t="s">
        <v>158</v>
      </c>
      <c r="C65" s="2" t="s">
        <v>153</v>
      </c>
      <c r="D65" s="2" t="s">
        <v>145</v>
      </c>
      <c r="E65" s="2" t="s">
        <v>150</v>
      </c>
      <c r="F65" s="3">
        <v>46071</v>
      </c>
      <c r="G65" s="4">
        <v>481</v>
      </c>
      <c r="H65" s="5">
        <v>16</v>
      </c>
      <c r="I65" s="3">
        <v>46082</v>
      </c>
      <c r="J65" s="3">
        <v>46082</v>
      </c>
      <c r="K65" s="7" t="s">
        <v>23</v>
      </c>
      <c r="L65" s="4">
        <v>30</v>
      </c>
      <c r="M65" s="4">
        <v>180</v>
      </c>
      <c r="N65" s="4">
        <v>301</v>
      </c>
      <c r="O65" s="6">
        <v>0.37422037422037419</v>
      </c>
      <c r="P65" s="2"/>
    </row>
    <row r="66" spans="1:16">
      <c r="A66" s="2" t="s">
        <v>159</v>
      </c>
      <c r="B66" s="2" t="s">
        <v>160</v>
      </c>
      <c r="C66" s="2" t="s">
        <v>149</v>
      </c>
      <c r="D66" s="2" t="s">
        <v>145</v>
      </c>
      <c r="E66" s="2" t="s">
        <v>161</v>
      </c>
      <c r="F66" s="3">
        <v>46076</v>
      </c>
      <c r="G66" s="4">
        <v>943</v>
      </c>
      <c r="H66" s="5">
        <v>8</v>
      </c>
      <c r="I66" s="3">
        <v>46082</v>
      </c>
      <c r="J66" s="3">
        <v>46082</v>
      </c>
      <c r="K66" s="7" t="s">
        <v>23</v>
      </c>
      <c r="L66" s="4">
        <v>118</v>
      </c>
      <c r="M66" s="4">
        <v>708</v>
      </c>
      <c r="N66" s="4">
        <v>235</v>
      </c>
      <c r="O66" s="6">
        <v>0.75079533404029697</v>
      </c>
      <c r="P66" s="2"/>
    </row>
    <row r="67" spans="1:16">
      <c r="A67" s="2" t="s">
        <v>162</v>
      </c>
      <c r="B67" s="2" t="s">
        <v>163</v>
      </c>
      <c r="C67" s="2" t="s">
        <v>164</v>
      </c>
      <c r="D67" s="2" t="s">
        <v>145</v>
      </c>
      <c r="E67" s="2" t="s">
        <v>146</v>
      </c>
      <c r="F67" s="3">
        <v>46070</v>
      </c>
      <c r="G67" s="4">
        <v>439</v>
      </c>
      <c r="H67" s="5">
        <v>14</v>
      </c>
      <c r="I67" s="3">
        <v>46113</v>
      </c>
      <c r="J67" s="3">
        <v>46113</v>
      </c>
      <c r="K67" s="7" t="s">
        <v>23</v>
      </c>
      <c r="L67" s="4">
        <v>31</v>
      </c>
      <c r="M67" s="4">
        <v>155</v>
      </c>
      <c r="N67" s="4">
        <v>284</v>
      </c>
      <c r="O67" s="6">
        <v>0.35307517084282458</v>
      </c>
      <c r="P67" s="2"/>
    </row>
    <row r="68" spans="1:16">
      <c r="A68" s="2" t="s">
        <v>165</v>
      </c>
      <c r="B68" s="2" t="s">
        <v>166</v>
      </c>
      <c r="C68" s="2" t="s">
        <v>156</v>
      </c>
      <c r="D68" s="2" t="s">
        <v>145</v>
      </c>
      <c r="E68" s="2" t="s">
        <v>150</v>
      </c>
      <c r="F68" s="3">
        <v>46103</v>
      </c>
      <c r="G68" s="4">
        <v>703</v>
      </c>
      <c r="H68" s="5">
        <v>10</v>
      </c>
      <c r="I68" s="3">
        <v>46143</v>
      </c>
      <c r="J68" s="3">
        <v>46143</v>
      </c>
      <c r="K68" s="7" t="s">
        <v>23</v>
      </c>
      <c r="L68" s="4">
        <v>70</v>
      </c>
      <c r="M68" s="4">
        <v>280</v>
      </c>
      <c r="N68" s="4">
        <v>423</v>
      </c>
      <c r="O68" s="6">
        <v>0.39829302987197718</v>
      </c>
      <c r="P68" s="2"/>
    </row>
    <row r="69" spans="1:16">
      <c r="A69" s="2" t="s">
        <v>167</v>
      </c>
      <c r="B69" s="2" t="s">
        <v>168</v>
      </c>
      <c r="C69" s="2" t="s">
        <v>149</v>
      </c>
      <c r="D69" s="2" t="s">
        <v>145</v>
      </c>
      <c r="E69" s="2" t="s">
        <v>146</v>
      </c>
      <c r="F69" s="3">
        <v>46101</v>
      </c>
      <c r="G69" s="4">
        <v>1424</v>
      </c>
      <c r="H69" s="5">
        <v>7</v>
      </c>
      <c r="I69" s="3">
        <v>46143</v>
      </c>
      <c r="J69" s="3">
        <v>46143</v>
      </c>
      <c r="K69" s="7" t="s">
        <v>23</v>
      </c>
      <c r="L69" s="4">
        <v>203</v>
      </c>
      <c r="M69" s="4">
        <v>812</v>
      </c>
      <c r="N69" s="4">
        <v>612</v>
      </c>
      <c r="O69" s="6">
        <v>0.5702247191011236</v>
      </c>
      <c r="P69" s="2"/>
    </row>
    <row r="70" spans="1:16">
      <c r="A70" s="2" t="s">
        <v>169</v>
      </c>
      <c r="B70" s="2" t="s">
        <v>170</v>
      </c>
      <c r="C70" s="2" t="s">
        <v>144</v>
      </c>
      <c r="D70" s="2" t="s">
        <v>145</v>
      </c>
      <c r="E70" s="2" t="s">
        <v>150</v>
      </c>
      <c r="F70" s="3">
        <v>46090</v>
      </c>
      <c r="G70" s="4">
        <v>638</v>
      </c>
      <c r="H70" s="5">
        <v>14</v>
      </c>
      <c r="I70" s="3">
        <v>46113</v>
      </c>
      <c r="J70" s="3">
        <v>46113</v>
      </c>
      <c r="K70" s="7" t="s">
        <v>23</v>
      </c>
      <c r="L70" s="4">
        <v>46</v>
      </c>
      <c r="M70" s="4">
        <v>230</v>
      </c>
      <c r="N70" s="4">
        <v>408</v>
      </c>
      <c r="O70" s="6">
        <v>0.36050156739811912</v>
      </c>
      <c r="P70" s="2"/>
    </row>
    <row r="71" spans="1:16">
      <c r="A71" s="2" t="s">
        <v>171</v>
      </c>
      <c r="B71" s="2" t="s">
        <v>172</v>
      </c>
      <c r="C71" s="2" t="s">
        <v>149</v>
      </c>
      <c r="D71" s="2" t="s">
        <v>145</v>
      </c>
      <c r="E71" s="2" t="s">
        <v>150</v>
      </c>
      <c r="F71" s="3">
        <v>46129</v>
      </c>
      <c r="G71" s="4">
        <v>583</v>
      </c>
      <c r="H71" s="5">
        <v>14</v>
      </c>
      <c r="I71" s="3">
        <v>46174</v>
      </c>
      <c r="J71" s="3">
        <v>46174</v>
      </c>
      <c r="K71" s="7" t="s">
        <v>23</v>
      </c>
      <c r="L71" s="4">
        <v>42</v>
      </c>
      <c r="M71" s="4">
        <v>126</v>
      </c>
      <c r="N71" s="4">
        <v>457</v>
      </c>
      <c r="O71" s="6">
        <v>0.216123499142367</v>
      </c>
      <c r="P71" s="2" t="s">
        <v>89</v>
      </c>
    </row>
    <row r="72" spans="1:16">
      <c r="A72" s="2" t="s">
        <v>173</v>
      </c>
      <c r="B72" s="2" t="s">
        <v>174</v>
      </c>
      <c r="C72" s="2" t="s">
        <v>164</v>
      </c>
      <c r="D72" s="2" t="s">
        <v>145</v>
      </c>
      <c r="E72" s="2" t="s">
        <v>161</v>
      </c>
      <c r="F72" s="3">
        <v>46132</v>
      </c>
      <c r="G72" s="4">
        <v>219</v>
      </c>
      <c r="H72" s="5">
        <v>6</v>
      </c>
      <c r="I72" s="3">
        <v>46174</v>
      </c>
      <c r="J72" s="3">
        <v>46174</v>
      </c>
      <c r="K72" s="7" t="s">
        <v>23</v>
      </c>
      <c r="L72" s="4">
        <v>36</v>
      </c>
      <c r="M72" s="4">
        <v>108</v>
      </c>
      <c r="N72" s="4">
        <v>111</v>
      </c>
      <c r="O72" s="6">
        <v>0.49315068493150682</v>
      </c>
      <c r="P72" s="2"/>
    </row>
    <row r="73" spans="1:16">
      <c r="A73" s="2" t="s">
        <v>175</v>
      </c>
      <c r="B73" s="2" t="s">
        <v>152</v>
      </c>
      <c r="C73" s="2" t="s">
        <v>153</v>
      </c>
      <c r="D73" s="2" t="s">
        <v>145</v>
      </c>
      <c r="E73" s="2" t="s">
        <v>150</v>
      </c>
      <c r="F73" s="3">
        <v>46136</v>
      </c>
      <c r="G73" s="4">
        <v>471</v>
      </c>
      <c r="H73" s="5">
        <v>6</v>
      </c>
      <c r="I73" s="3">
        <v>46174</v>
      </c>
      <c r="J73" s="3">
        <v>46174</v>
      </c>
      <c r="K73" s="7" t="s">
        <v>23</v>
      </c>
      <c r="L73" s="4">
        <v>78</v>
      </c>
      <c r="M73" s="4">
        <v>234</v>
      </c>
      <c r="N73" s="4">
        <v>237</v>
      </c>
      <c r="O73" s="6">
        <v>0.49681528662420382</v>
      </c>
      <c r="P73" s="2"/>
    </row>
    <row r="74" spans="1:16">
      <c r="A74" s="2" t="s">
        <v>176</v>
      </c>
      <c r="B74" s="2" t="s">
        <v>143</v>
      </c>
      <c r="C74" s="2" t="s">
        <v>144</v>
      </c>
      <c r="D74" s="2" t="s">
        <v>145</v>
      </c>
      <c r="E74" s="2" t="s">
        <v>150</v>
      </c>
      <c r="F74" s="3">
        <v>46119</v>
      </c>
      <c r="G74" s="4">
        <v>170</v>
      </c>
      <c r="H74" s="5">
        <v>12</v>
      </c>
      <c r="I74" s="3">
        <v>46174</v>
      </c>
      <c r="J74" s="3">
        <v>46174</v>
      </c>
      <c r="K74" s="7" t="s">
        <v>23</v>
      </c>
      <c r="L74" s="4">
        <v>14</v>
      </c>
      <c r="M74" s="4">
        <v>42</v>
      </c>
      <c r="N74" s="4">
        <v>128</v>
      </c>
      <c r="O74" s="6">
        <v>0.24705882352941169</v>
      </c>
      <c r="P74" s="2"/>
    </row>
    <row r="75" spans="1:16">
      <c r="A75" s="2" t="s">
        <v>177</v>
      </c>
      <c r="B75" s="2" t="s">
        <v>178</v>
      </c>
      <c r="C75" s="2" t="s">
        <v>144</v>
      </c>
      <c r="D75" s="2" t="s">
        <v>145</v>
      </c>
      <c r="E75" s="2" t="s">
        <v>150</v>
      </c>
      <c r="F75" s="3">
        <v>46117</v>
      </c>
      <c r="G75" s="4">
        <v>403</v>
      </c>
      <c r="H75" s="5">
        <v>6</v>
      </c>
      <c r="I75" s="3">
        <v>46143</v>
      </c>
      <c r="J75" s="3">
        <v>46143</v>
      </c>
      <c r="K75" s="7" t="s">
        <v>23</v>
      </c>
      <c r="L75" s="4">
        <v>67</v>
      </c>
      <c r="M75" s="4">
        <v>268</v>
      </c>
      <c r="N75" s="4">
        <v>135</v>
      </c>
      <c r="O75" s="6">
        <v>0.66501240694789077</v>
      </c>
      <c r="P75" s="2"/>
    </row>
    <row r="76" spans="1:16">
      <c r="A76" s="2" t="s">
        <v>179</v>
      </c>
      <c r="B76" s="2" t="s">
        <v>180</v>
      </c>
      <c r="C76" s="2" t="s">
        <v>144</v>
      </c>
      <c r="D76" s="2" t="s">
        <v>145</v>
      </c>
      <c r="E76" s="2" t="s">
        <v>150</v>
      </c>
      <c r="F76" s="3">
        <v>46118</v>
      </c>
      <c r="G76" s="4">
        <v>549</v>
      </c>
      <c r="H76" s="5">
        <v>6</v>
      </c>
      <c r="I76" s="3">
        <v>46174</v>
      </c>
      <c r="J76" s="3">
        <v>46174</v>
      </c>
      <c r="K76" s="7" t="s">
        <v>23</v>
      </c>
      <c r="L76" s="4">
        <v>92</v>
      </c>
      <c r="M76" s="4">
        <v>276</v>
      </c>
      <c r="N76" s="4">
        <v>273</v>
      </c>
      <c r="O76" s="6">
        <v>0.50273224043715847</v>
      </c>
      <c r="P76" s="2"/>
    </row>
    <row r="77" spans="1:16">
      <c r="A77" s="2" t="s">
        <v>181</v>
      </c>
      <c r="B77" s="2" t="s">
        <v>182</v>
      </c>
      <c r="C77" s="2" t="s">
        <v>149</v>
      </c>
      <c r="D77" s="2" t="s">
        <v>145</v>
      </c>
      <c r="E77" s="2" t="s">
        <v>161</v>
      </c>
      <c r="F77" s="3">
        <v>46150</v>
      </c>
      <c r="G77" s="4">
        <v>182</v>
      </c>
      <c r="H77" s="5">
        <v>6</v>
      </c>
      <c r="I77" s="3">
        <v>46174</v>
      </c>
      <c r="J77" s="3">
        <v>46174</v>
      </c>
      <c r="K77" s="7" t="s">
        <v>23</v>
      </c>
      <c r="L77" s="4">
        <v>30</v>
      </c>
      <c r="M77" s="4">
        <v>90</v>
      </c>
      <c r="N77" s="4">
        <v>92</v>
      </c>
      <c r="O77" s="6">
        <v>0.49450549450549453</v>
      </c>
      <c r="P77" s="2"/>
    </row>
    <row r="78" spans="1:16">
      <c r="A78" s="2" t="s">
        <v>183</v>
      </c>
      <c r="B78" s="2" t="s">
        <v>184</v>
      </c>
      <c r="C78" s="2" t="s">
        <v>156</v>
      </c>
      <c r="D78" s="2" t="s">
        <v>145</v>
      </c>
      <c r="E78" s="2" t="s">
        <v>150</v>
      </c>
      <c r="F78" s="3">
        <v>46151</v>
      </c>
      <c r="G78" s="4">
        <v>1232</v>
      </c>
      <c r="H78" s="5">
        <v>8</v>
      </c>
      <c r="I78" s="3">
        <v>46174</v>
      </c>
      <c r="J78" s="3">
        <v>46174</v>
      </c>
      <c r="K78" s="7" t="s">
        <v>23</v>
      </c>
      <c r="L78" s="4">
        <v>154</v>
      </c>
      <c r="M78" s="4">
        <v>462</v>
      </c>
      <c r="N78" s="4">
        <v>770</v>
      </c>
      <c r="O78" s="6">
        <v>0.375</v>
      </c>
      <c r="P78" s="2"/>
    </row>
    <row r="79" spans="1:16">
      <c r="A79" s="2" t="s">
        <v>185</v>
      </c>
      <c r="B79" s="2" t="s">
        <v>182</v>
      </c>
      <c r="C79" s="2" t="s">
        <v>149</v>
      </c>
      <c r="D79" s="2" t="s">
        <v>145</v>
      </c>
      <c r="E79" s="2" t="s">
        <v>150</v>
      </c>
      <c r="F79" s="3">
        <v>46155</v>
      </c>
      <c r="G79" s="4">
        <v>826</v>
      </c>
      <c r="H79" s="5">
        <v>12</v>
      </c>
      <c r="I79" s="3">
        <v>46174</v>
      </c>
      <c r="J79" s="3">
        <v>46174</v>
      </c>
      <c r="K79" s="7" t="s">
        <v>23</v>
      </c>
      <c r="L79" s="4">
        <v>69</v>
      </c>
      <c r="M79" s="4">
        <v>207</v>
      </c>
      <c r="N79" s="4">
        <v>619</v>
      </c>
      <c r="O79" s="6">
        <v>0.25060532687651332</v>
      </c>
      <c r="P79" s="2"/>
    </row>
    <row r="80" spans="1:16">
      <c r="A80" s="2" t="s">
        <v>186</v>
      </c>
      <c r="B80" s="2" t="s">
        <v>187</v>
      </c>
      <c r="C80" s="2" t="s">
        <v>156</v>
      </c>
      <c r="D80" s="2" t="s">
        <v>145</v>
      </c>
      <c r="E80" s="2" t="s">
        <v>150</v>
      </c>
      <c r="F80" s="3">
        <v>46181</v>
      </c>
      <c r="G80" s="4">
        <v>486</v>
      </c>
      <c r="H80" s="5">
        <v>8</v>
      </c>
      <c r="I80" s="3">
        <v>46266</v>
      </c>
      <c r="J80" s="3"/>
      <c r="K80" s="7" t="s">
        <v>72</v>
      </c>
      <c r="L80" s="4">
        <v>0</v>
      </c>
      <c r="M80" s="4">
        <v>0</v>
      </c>
      <c r="N80" s="4">
        <v>486</v>
      </c>
      <c r="O80" s="6">
        <v>0</v>
      </c>
      <c r="P80" s="2"/>
    </row>
    <row r="81" spans="1:16">
      <c r="A81" s="2" t="s">
        <v>188</v>
      </c>
      <c r="B81" s="2" t="s">
        <v>189</v>
      </c>
      <c r="C81" s="2" t="s">
        <v>153</v>
      </c>
      <c r="D81" s="2" t="s">
        <v>145</v>
      </c>
      <c r="E81" s="2" t="s">
        <v>146</v>
      </c>
      <c r="F81" s="3">
        <v>46199</v>
      </c>
      <c r="G81" s="4">
        <v>212</v>
      </c>
      <c r="H81" s="5">
        <v>5</v>
      </c>
      <c r="I81" s="3">
        <v>46235</v>
      </c>
      <c r="J81" s="3">
        <v>46235</v>
      </c>
      <c r="K81" s="7" t="s">
        <v>23</v>
      </c>
      <c r="L81" s="4">
        <v>42</v>
      </c>
      <c r="M81" s="4">
        <v>42</v>
      </c>
      <c r="N81" s="4">
        <v>170</v>
      </c>
      <c r="O81" s="6">
        <v>0.1981132075471698</v>
      </c>
      <c r="P81" s="2"/>
    </row>
    <row r="82" spans="1:16">
      <c r="A82" s="2" t="s">
        <v>190</v>
      </c>
      <c r="B82" s="2" t="s">
        <v>191</v>
      </c>
      <c r="C82" s="2" t="s">
        <v>153</v>
      </c>
      <c r="D82" s="2" t="s">
        <v>145</v>
      </c>
      <c r="E82" s="2" t="s">
        <v>146</v>
      </c>
      <c r="F82" s="3">
        <v>46182</v>
      </c>
      <c r="G82" s="4">
        <v>132</v>
      </c>
      <c r="H82" s="5">
        <v>10</v>
      </c>
      <c r="I82" s="3">
        <v>46235</v>
      </c>
      <c r="J82" s="3">
        <v>46235</v>
      </c>
      <c r="K82" s="7" t="s">
        <v>23</v>
      </c>
      <c r="L82" s="4">
        <v>13</v>
      </c>
      <c r="M82" s="4">
        <v>13</v>
      </c>
      <c r="N82" s="4">
        <v>119</v>
      </c>
      <c r="O82" s="6">
        <v>9.8484848484848397E-2</v>
      </c>
      <c r="P82" s="2"/>
    </row>
    <row r="83" spans="1:16">
      <c r="A83" s="2" t="s">
        <v>192</v>
      </c>
      <c r="B83" s="2" t="s">
        <v>174</v>
      </c>
      <c r="C83" s="2" t="s">
        <v>164</v>
      </c>
      <c r="D83" s="2" t="s">
        <v>145</v>
      </c>
      <c r="E83" s="2" t="s">
        <v>161</v>
      </c>
      <c r="F83" s="3">
        <v>46181</v>
      </c>
      <c r="G83" s="4">
        <v>187</v>
      </c>
      <c r="H83" s="5">
        <v>10</v>
      </c>
      <c r="I83" s="3">
        <v>46204</v>
      </c>
      <c r="J83" s="3">
        <v>46204</v>
      </c>
      <c r="K83" s="7" t="s">
        <v>23</v>
      </c>
      <c r="L83" s="4">
        <v>19</v>
      </c>
      <c r="M83" s="4">
        <v>38</v>
      </c>
      <c r="N83" s="4">
        <v>149</v>
      </c>
      <c r="O83" s="6">
        <v>0.2032085561497326</v>
      </c>
      <c r="P83" s="2"/>
    </row>
    <row r="84" spans="1:16">
      <c r="A84" s="2" t="s">
        <v>193</v>
      </c>
      <c r="B84" s="2" t="s">
        <v>194</v>
      </c>
      <c r="C84" s="2" t="s">
        <v>156</v>
      </c>
      <c r="D84" s="2" t="s">
        <v>145</v>
      </c>
      <c r="E84" s="2" t="s">
        <v>150</v>
      </c>
      <c r="F84" s="3">
        <v>46180</v>
      </c>
      <c r="G84" s="4">
        <v>978</v>
      </c>
      <c r="H84" s="5">
        <v>8</v>
      </c>
      <c r="I84" s="3">
        <v>46204</v>
      </c>
      <c r="J84" s="3">
        <v>46204</v>
      </c>
      <c r="K84" s="7" t="s">
        <v>23</v>
      </c>
      <c r="L84" s="4">
        <v>122</v>
      </c>
      <c r="M84" s="4">
        <v>244</v>
      </c>
      <c r="N84" s="4">
        <v>734</v>
      </c>
      <c r="O84" s="6">
        <v>0.2494887525562372</v>
      </c>
      <c r="P84" s="2"/>
    </row>
    <row r="85" spans="1:16">
      <c r="A85" s="2" t="s">
        <v>195</v>
      </c>
      <c r="B85" s="2" t="s">
        <v>189</v>
      </c>
      <c r="C85" s="2" t="s">
        <v>153</v>
      </c>
      <c r="D85" s="2" t="s">
        <v>145</v>
      </c>
      <c r="E85" s="2" t="s">
        <v>146</v>
      </c>
      <c r="F85" s="3">
        <v>46190</v>
      </c>
      <c r="G85" s="4">
        <v>130</v>
      </c>
      <c r="H85" s="5">
        <v>8</v>
      </c>
      <c r="I85" s="3">
        <v>46204</v>
      </c>
      <c r="J85" s="3">
        <v>46204</v>
      </c>
      <c r="K85" s="7" t="s">
        <v>23</v>
      </c>
      <c r="L85" s="4">
        <v>16</v>
      </c>
      <c r="M85" s="4">
        <v>32</v>
      </c>
      <c r="N85" s="4">
        <v>98</v>
      </c>
      <c r="O85" s="6">
        <v>0.24615384615384611</v>
      </c>
      <c r="P85" s="2" t="s">
        <v>89</v>
      </c>
    </row>
    <row r="86" spans="1:16">
      <c r="A86" s="2" t="s">
        <v>196</v>
      </c>
      <c r="B86" s="2" t="s">
        <v>197</v>
      </c>
      <c r="C86" s="2" t="s">
        <v>164</v>
      </c>
      <c r="D86" s="2" t="s">
        <v>145</v>
      </c>
      <c r="E86" s="2" t="s">
        <v>150</v>
      </c>
      <c r="F86" s="3">
        <v>46198</v>
      </c>
      <c r="G86" s="4">
        <v>261</v>
      </c>
      <c r="H86" s="5">
        <v>8</v>
      </c>
      <c r="I86" s="3">
        <v>46235</v>
      </c>
      <c r="J86" s="3">
        <v>46235</v>
      </c>
      <c r="K86" s="7" t="s">
        <v>23</v>
      </c>
      <c r="L86" s="4">
        <v>33</v>
      </c>
      <c r="M86" s="4">
        <v>33</v>
      </c>
      <c r="N86" s="4">
        <v>228</v>
      </c>
      <c r="O86" s="6">
        <v>0.12643678160919539</v>
      </c>
      <c r="P86" s="2"/>
    </row>
    <row r="87" spans="1:16">
      <c r="A87" s="2" t="s">
        <v>198</v>
      </c>
      <c r="B87" s="2" t="s">
        <v>199</v>
      </c>
      <c r="C87" s="2" t="s">
        <v>153</v>
      </c>
      <c r="D87" s="2" t="s">
        <v>145</v>
      </c>
      <c r="E87" s="2" t="s">
        <v>150</v>
      </c>
      <c r="F87" s="3">
        <v>46179</v>
      </c>
      <c r="G87" s="4">
        <v>345</v>
      </c>
      <c r="H87" s="5">
        <v>12</v>
      </c>
      <c r="I87" s="3">
        <v>46204</v>
      </c>
      <c r="J87" s="3">
        <v>46204</v>
      </c>
      <c r="K87" s="7" t="s">
        <v>23</v>
      </c>
      <c r="L87" s="4">
        <v>29</v>
      </c>
      <c r="M87" s="4">
        <v>58</v>
      </c>
      <c r="N87" s="4">
        <v>287</v>
      </c>
      <c r="O87" s="6">
        <v>0.1681159420289855</v>
      </c>
      <c r="P87" s="2"/>
    </row>
    <row r="88" spans="1:16">
      <c r="A88" s="2" t="s">
        <v>200</v>
      </c>
      <c r="B88" s="2" t="s">
        <v>187</v>
      </c>
      <c r="C88" s="2" t="s">
        <v>156</v>
      </c>
      <c r="D88" s="2" t="s">
        <v>145</v>
      </c>
      <c r="E88" s="2" t="s">
        <v>161</v>
      </c>
      <c r="F88" s="3">
        <v>46180</v>
      </c>
      <c r="G88" s="4">
        <v>568</v>
      </c>
      <c r="H88" s="5">
        <v>15</v>
      </c>
      <c r="I88" s="3">
        <v>46235</v>
      </c>
      <c r="J88" s="3">
        <v>46235</v>
      </c>
      <c r="K88" s="7" t="s">
        <v>23</v>
      </c>
      <c r="L88" s="4">
        <v>38</v>
      </c>
      <c r="M88" s="4">
        <v>38</v>
      </c>
      <c r="N88" s="4">
        <v>530</v>
      </c>
      <c r="O88" s="6">
        <v>6.6901408450704206E-2</v>
      </c>
      <c r="P88" s="2" t="s">
        <v>89</v>
      </c>
    </row>
    <row r="89" spans="1:16">
      <c r="A89" s="2" t="s">
        <v>201</v>
      </c>
      <c r="B89" s="2" t="s">
        <v>152</v>
      </c>
      <c r="C89" s="2" t="s">
        <v>153</v>
      </c>
      <c r="D89" s="2" t="s">
        <v>145</v>
      </c>
      <c r="E89" s="2" t="s">
        <v>146</v>
      </c>
      <c r="F89" s="3">
        <v>46229</v>
      </c>
      <c r="G89" s="4">
        <v>488</v>
      </c>
      <c r="H89" s="5">
        <v>11</v>
      </c>
      <c r="I89" s="3">
        <v>46266</v>
      </c>
      <c r="J89" s="3"/>
      <c r="K89" s="7" t="s">
        <v>72</v>
      </c>
      <c r="L89" s="4">
        <v>0</v>
      </c>
      <c r="M89" s="4">
        <v>0</v>
      </c>
      <c r="N89" s="4">
        <v>488</v>
      </c>
      <c r="O89" s="6">
        <v>0</v>
      </c>
      <c r="P89" s="2" t="s">
        <v>128</v>
      </c>
    </row>
    <row r="90" spans="1:16">
      <c r="A90" s="2" t="s">
        <v>202</v>
      </c>
      <c r="B90" s="2" t="s">
        <v>166</v>
      </c>
      <c r="C90" s="2" t="s">
        <v>156</v>
      </c>
      <c r="D90" s="2" t="s">
        <v>145</v>
      </c>
      <c r="E90" s="2" t="s">
        <v>150</v>
      </c>
      <c r="F90" s="3">
        <v>46215</v>
      </c>
      <c r="G90" s="4">
        <v>1462</v>
      </c>
      <c r="H90" s="5">
        <v>8</v>
      </c>
      <c r="I90" s="3">
        <v>46235</v>
      </c>
      <c r="J90" s="3">
        <v>46235</v>
      </c>
      <c r="K90" s="7" t="s">
        <v>23</v>
      </c>
      <c r="L90" s="4">
        <v>183</v>
      </c>
      <c r="M90" s="4">
        <v>183</v>
      </c>
      <c r="N90" s="4">
        <v>1279</v>
      </c>
      <c r="O90" s="6">
        <v>0.12517099863201089</v>
      </c>
      <c r="P90" s="2"/>
    </row>
    <row r="91" spans="1:16">
      <c r="A91" s="2" t="s">
        <v>203</v>
      </c>
      <c r="B91" s="2" t="s">
        <v>204</v>
      </c>
      <c r="C91" s="2" t="s">
        <v>144</v>
      </c>
      <c r="D91" s="2" t="s">
        <v>145</v>
      </c>
      <c r="E91" s="2" t="s">
        <v>150</v>
      </c>
      <c r="F91" s="3">
        <v>46223</v>
      </c>
      <c r="G91" s="4">
        <v>709</v>
      </c>
      <c r="H91" s="5">
        <v>16</v>
      </c>
      <c r="I91" s="3">
        <v>46296</v>
      </c>
      <c r="J91" s="3"/>
      <c r="K91" s="7" t="s">
        <v>72</v>
      </c>
      <c r="L91" s="4">
        <v>0</v>
      </c>
      <c r="M91" s="4">
        <v>0</v>
      </c>
      <c r="N91" s="4">
        <v>709</v>
      </c>
      <c r="O91" s="6">
        <v>0</v>
      </c>
      <c r="P91" s="2"/>
    </row>
    <row r="92" spans="1:16">
      <c r="A92" s="2" t="s">
        <v>205</v>
      </c>
      <c r="B92" s="2" t="s">
        <v>206</v>
      </c>
      <c r="C92" s="2" t="s">
        <v>164</v>
      </c>
      <c r="D92" s="2" t="s">
        <v>145</v>
      </c>
      <c r="E92" s="2" t="s">
        <v>146</v>
      </c>
      <c r="F92" s="3">
        <v>46238</v>
      </c>
      <c r="G92" s="4">
        <v>501</v>
      </c>
      <c r="H92" s="5">
        <v>8</v>
      </c>
      <c r="I92" s="3">
        <v>46296</v>
      </c>
      <c r="J92" s="3"/>
      <c r="K92" s="7" t="s">
        <v>72</v>
      </c>
      <c r="L92" s="4">
        <v>0</v>
      </c>
      <c r="M92" s="4">
        <v>0</v>
      </c>
      <c r="N92" s="4">
        <v>501</v>
      </c>
      <c r="O92" s="6">
        <v>0</v>
      </c>
      <c r="P92" s="2"/>
    </row>
    <row r="93" spans="1:16">
      <c r="A93" s="2" t="s">
        <v>207</v>
      </c>
      <c r="B93" s="2" t="s">
        <v>189</v>
      </c>
      <c r="C93" s="2" t="s">
        <v>153</v>
      </c>
      <c r="D93" s="2" t="s">
        <v>145</v>
      </c>
      <c r="E93" s="2" t="s">
        <v>146</v>
      </c>
      <c r="F93" s="3">
        <v>46260</v>
      </c>
      <c r="G93" s="4">
        <v>459</v>
      </c>
      <c r="H93" s="5">
        <v>5</v>
      </c>
      <c r="I93" s="3">
        <v>46266</v>
      </c>
      <c r="J93" s="3"/>
      <c r="K93" s="7" t="s">
        <v>72</v>
      </c>
      <c r="L93" s="4">
        <v>0</v>
      </c>
      <c r="M93" s="4">
        <v>0</v>
      </c>
      <c r="N93" s="4">
        <v>459</v>
      </c>
      <c r="O93" s="6">
        <v>0</v>
      </c>
      <c r="P93" s="2"/>
    </row>
    <row r="94" spans="1:16">
      <c r="A94" s="2" t="s">
        <v>208</v>
      </c>
      <c r="B94" s="2" t="s">
        <v>170</v>
      </c>
      <c r="C94" s="2" t="s">
        <v>144</v>
      </c>
      <c r="D94" s="2" t="s">
        <v>145</v>
      </c>
      <c r="E94" s="2" t="s">
        <v>146</v>
      </c>
      <c r="F94" s="3">
        <v>46257</v>
      </c>
      <c r="G94" s="4">
        <v>494</v>
      </c>
      <c r="H94" s="5">
        <v>10</v>
      </c>
      <c r="I94" s="3">
        <v>46296</v>
      </c>
      <c r="J94" s="3"/>
      <c r="K94" s="7" t="s">
        <v>72</v>
      </c>
      <c r="L94" s="4">
        <v>0</v>
      </c>
      <c r="M94" s="4">
        <v>0</v>
      </c>
      <c r="N94" s="4">
        <v>494</v>
      </c>
      <c r="O94" s="6">
        <v>0</v>
      </c>
      <c r="P94" s="2"/>
    </row>
    <row r="95" spans="1:16">
      <c r="A95" s="2" t="s">
        <v>209</v>
      </c>
      <c r="B95" s="2" t="s">
        <v>210</v>
      </c>
      <c r="C95" s="2" t="s">
        <v>211</v>
      </c>
      <c r="D95" s="2" t="s">
        <v>212</v>
      </c>
      <c r="E95" s="2" t="s">
        <v>213</v>
      </c>
      <c r="F95" s="3">
        <v>46043</v>
      </c>
      <c r="G95" s="4">
        <v>694</v>
      </c>
      <c r="H95" s="5">
        <v>12</v>
      </c>
      <c r="I95" s="3">
        <v>46054</v>
      </c>
      <c r="J95" s="3">
        <v>46054</v>
      </c>
      <c r="K95" s="7" t="s">
        <v>23</v>
      </c>
      <c r="L95" s="4">
        <v>58</v>
      </c>
      <c r="M95" s="4">
        <v>406</v>
      </c>
      <c r="N95" s="4">
        <v>288</v>
      </c>
      <c r="O95" s="6">
        <v>0.58501440922190207</v>
      </c>
      <c r="P95" s="2"/>
    </row>
    <row r="96" spans="1:16">
      <c r="A96" s="2" t="s">
        <v>214</v>
      </c>
      <c r="B96" s="2" t="s">
        <v>215</v>
      </c>
      <c r="C96" s="2" t="s">
        <v>216</v>
      </c>
      <c r="D96" s="2" t="s">
        <v>212</v>
      </c>
      <c r="E96" s="2" t="s">
        <v>213</v>
      </c>
      <c r="F96" s="3">
        <v>46046</v>
      </c>
      <c r="G96" s="4">
        <v>198</v>
      </c>
      <c r="H96" s="5">
        <v>8</v>
      </c>
      <c r="I96" s="3">
        <v>46054</v>
      </c>
      <c r="J96" s="3">
        <v>46054</v>
      </c>
      <c r="K96" s="7" t="s">
        <v>23</v>
      </c>
      <c r="L96" s="4">
        <v>25</v>
      </c>
      <c r="M96" s="4">
        <v>175</v>
      </c>
      <c r="N96" s="4">
        <v>23</v>
      </c>
      <c r="O96" s="6">
        <v>0.88383838383838387</v>
      </c>
      <c r="P96" s="2"/>
    </row>
    <row r="97" spans="1:16">
      <c r="A97" s="2" t="s">
        <v>217</v>
      </c>
      <c r="B97" s="2" t="s">
        <v>218</v>
      </c>
      <c r="C97" s="2" t="s">
        <v>219</v>
      </c>
      <c r="D97" s="2" t="s">
        <v>212</v>
      </c>
      <c r="E97" s="2" t="s">
        <v>213</v>
      </c>
      <c r="F97" s="3">
        <v>46048</v>
      </c>
      <c r="G97" s="4">
        <v>370</v>
      </c>
      <c r="H97" s="5">
        <v>7</v>
      </c>
      <c r="I97" s="3">
        <v>46113</v>
      </c>
      <c r="J97" s="3">
        <v>46113</v>
      </c>
      <c r="K97" s="7" t="s">
        <v>23</v>
      </c>
      <c r="L97" s="4">
        <v>53</v>
      </c>
      <c r="M97" s="4">
        <v>265</v>
      </c>
      <c r="N97" s="4">
        <v>105</v>
      </c>
      <c r="O97" s="6">
        <v>0.71621621621621623</v>
      </c>
      <c r="P97" s="2" t="s">
        <v>89</v>
      </c>
    </row>
    <row r="98" spans="1:16">
      <c r="A98" s="2" t="s">
        <v>220</v>
      </c>
      <c r="B98" s="2" t="s">
        <v>221</v>
      </c>
      <c r="C98" s="2" t="s">
        <v>216</v>
      </c>
      <c r="D98" s="2" t="s">
        <v>212</v>
      </c>
      <c r="E98" s="2" t="s">
        <v>213</v>
      </c>
      <c r="F98" s="3">
        <v>46075</v>
      </c>
      <c r="G98" s="4">
        <v>1010</v>
      </c>
      <c r="H98" s="5">
        <v>8</v>
      </c>
      <c r="I98" s="3">
        <v>46082</v>
      </c>
      <c r="J98" s="3">
        <v>46082</v>
      </c>
      <c r="K98" s="7" t="s">
        <v>23</v>
      </c>
      <c r="L98" s="4">
        <v>126</v>
      </c>
      <c r="M98" s="4">
        <v>756</v>
      </c>
      <c r="N98" s="4">
        <v>254</v>
      </c>
      <c r="O98" s="6">
        <v>0.74851485148514851</v>
      </c>
      <c r="P98" s="2"/>
    </row>
    <row r="99" spans="1:16">
      <c r="A99" s="2" t="s">
        <v>222</v>
      </c>
      <c r="B99" s="2" t="s">
        <v>223</v>
      </c>
      <c r="C99" s="2" t="s">
        <v>224</v>
      </c>
      <c r="D99" s="2" t="s">
        <v>212</v>
      </c>
      <c r="E99" s="2" t="s">
        <v>213</v>
      </c>
      <c r="F99" s="3">
        <v>46080</v>
      </c>
      <c r="G99" s="4">
        <v>324</v>
      </c>
      <c r="H99" s="5">
        <v>10</v>
      </c>
      <c r="I99" s="3">
        <v>46113</v>
      </c>
      <c r="J99" s="3">
        <v>46113</v>
      </c>
      <c r="K99" s="7" t="s">
        <v>23</v>
      </c>
      <c r="L99" s="4">
        <v>32</v>
      </c>
      <c r="M99" s="4">
        <v>160</v>
      </c>
      <c r="N99" s="4">
        <v>164</v>
      </c>
      <c r="O99" s="6">
        <v>0.49382716049382708</v>
      </c>
      <c r="P99" s="2"/>
    </row>
    <row r="100" spans="1:16">
      <c r="A100" s="2" t="s">
        <v>225</v>
      </c>
      <c r="B100" s="2" t="s">
        <v>226</v>
      </c>
      <c r="C100" s="2" t="s">
        <v>224</v>
      </c>
      <c r="D100" s="2" t="s">
        <v>212</v>
      </c>
      <c r="E100" s="2" t="s">
        <v>227</v>
      </c>
      <c r="F100" s="3">
        <v>46077</v>
      </c>
      <c r="G100" s="4">
        <v>504</v>
      </c>
      <c r="H100" s="5">
        <v>18</v>
      </c>
      <c r="I100" s="3">
        <v>46082</v>
      </c>
      <c r="J100" s="3">
        <v>46082</v>
      </c>
      <c r="K100" s="7" t="s">
        <v>23</v>
      </c>
      <c r="L100" s="4">
        <v>28</v>
      </c>
      <c r="M100" s="4">
        <v>168</v>
      </c>
      <c r="N100" s="4">
        <v>336</v>
      </c>
      <c r="O100" s="6">
        <v>0.33333333333333331</v>
      </c>
      <c r="P100" s="2"/>
    </row>
    <row r="101" spans="1:16">
      <c r="A101" s="2" t="s">
        <v>228</v>
      </c>
      <c r="B101" s="2" t="s">
        <v>229</v>
      </c>
      <c r="C101" s="2" t="s">
        <v>224</v>
      </c>
      <c r="D101" s="2" t="s">
        <v>212</v>
      </c>
      <c r="E101" s="2" t="s">
        <v>227</v>
      </c>
      <c r="F101" s="3">
        <v>46095</v>
      </c>
      <c r="G101" s="4">
        <v>699</v>
      </c>
      <c r="H101" s="5">
        <v>14</v>
      </c>
      <c r="I101" s="3">
        <v>46113</v>
      </c>
      <c r="J101" s="3">
        <v>46113</v>
      </c>
      <c r="K101" s="7" t="s">
        <v>23</v>
      </c>
      <c r="L101" s="4">
        <v>50</v>
      </c>
      <c r="M101" s="4">
        <v>250</v>
      </c>
      <c r="N101" s="4">
        <v>449</v>
      </c>
      <c r="O101" s="6">
        <v>0.35765379113018592</v>
      </c>
      <c r="P101" s="2"/>
    </row>
    <row r="102" spans="1:16">
      <c r="A102" s="2" t="s">
        <v>230</v>
      </c>
      <c r="B102" s="2" t="s">
        <v>231</v>
      </c>
      <c r="C102" s="2" t="s">
        <v>232</v>
      </c>
      <c r="D102" s="2" t="s">
        <v>212</v>
      </c>
      <c r="E102" s="2" t="s">
        <v>227</v>
      </c>
      <c r="F102" s="3">
        <v>46107</v>
      </c>
      <c r="G102" s="4">
        <v>1117</v>
      </c>
      <c r="H102" s="5">
        <v>10</v>
      </c>
      <c r="I102" s="3">
        <v>46143</v>
      </c>
      <c r="J102" s="3">
        <v>46143</v>
      </c>
      <c r="K102" s="7" t="s">
        <v>23</v>
      </c>
      <c r="L102" s="4">
        <v>112</v>
      </c>
      <c r="M102" s="4">
        <v>448</v>
      </c>
      <c r="N102" s="4">
        <v>669</v>
      </c>
      <c r="O102" s="6">
        <v>0.40107430617726048</v>
      </c>
      <c r="P102" s="2"/>
    </row>
    <row r="103" spans="1:16">
      <c r="A103" s="2" t="s">
        <v>233</v>
      </c>
      <c r="B103" s="2" t="s">
        <v>234</v>
      </c>
      <c r="C103" s="2" t="s">
        <v>224</v>
      </c>
      <c r="D103" s="2" t="s">
        <v>212</v>
      </c>
      <c r="E103" s="2" t="s">
        <v>213</v>
      </c>
      <c r="F103" s="3">
        <v>46084</v>
      </c>
      <c r="G103" s="4">
        <v>216</v>
      </c>
      <c r="H103" s="5">
        <v>4</v>
      </c>
      <c r="I103" s="3">
        <v>46143</v>
      </c>
      <c r="J103" s="3">
        <v>46143</v>
      </c>
      <c r="K103" s="7" t="s">
        <v>93</v>
      </c>
      <c r="L103" s="4">
        <v>54</v>
      </c>
      <c r="M103" s="4">
        <v>216</v>
      </c>
      <c r="N103" s="4">
        <v>0</v>
      </c>
      <c r="O103" s="6">
        <v>1</v>
      </c>
      <c r="P103" s="2"/>
    </row>
    <row r="104" spans="1:16">
      <c r="A104" s="2" t="s">
        <v>235</v>
      </c>
      <c r="B104" s="2" t="s">
        <v>236</v>
      </c>
      <c r="C104" s="2" t="s">
        <v>232</v>
      </c>
      <c r="D104" s="2" t="s">
        <v>212</v>
      </c>
      <c r="E104" s="2" t="s">
        <v>227</v>
      </c>
      <c r="F104" s="3">
        <v>46119</v>
      </c>
      <c r="G104" s="4">
        <v>188</v>
      </c>
      <c r="H104" s="5">
        <v>6</v>
      </c>
      <c r="I104" s="3">
        <v>46174</v>
      </c>
      <c r="J104" s="3">
        <v>46174</v>
      </c>
      <c r="K104" s="7" t="s">
        <v>23</v>
      </c>
      <c r="L104" s="4">
        <v>31</v>
      </c>
      <c r="M104" s="4">
        <v>93</v>
      </c>
      <c r="N104" s="4">
        <v>95</v>
      </c>
      <c r="O104" s="6">
        <v>0.49468085106382981</v>
      </c>
      <c r="P104" s="2"/>
    </row>
    <row r="105" spans="1:16">
      <c r="A105" s="2" t="s">
        <v>237</v>
      </c>
      <c r="B105" s="2" t="s">
        <v>238</v>
      </c>
      <c r="C105" s="2" t="s">
        <v>211</v>
      </c>
      <c r="D105" s="2" t="s">
        <v>212</v>
      </c>
      <c r="E105" s="2" t="s">
        <v>227</v>
      </c>
      <c r="F105" s="3">
        <v>46120</v>
      </c>
      <c r="G105" s="4">
        <v>769</v>
      </c>
      <c r="H105" s="5">
        <v>8</v>
      </c>
      <c r="I105" s="3">
        <v>46174</v>
      </c>
      <c r="J105" s="3">
        <v>46174</v>
      </c>
      <c r="K105" s="7" t="s">
        <v>23</v>
      </c>
      <c r="L105" s="4">
        <v>96</v>
      </c>
      <c r="M105" s="4">
        <v>288</v>
      </c>
      <c r="N105" s="4">
        <v>481</v>
      </c>
      <c r="O105" s="6">
        <v>0.3745123537061118</v>
      </c>
      <c r="P105" s="2"/>
    </row>
    <row r="106" spans="1:16">
      <c r="A106" s="2" t="s">
        <v>239</v>
      </c>
      <c r="B106" s="2" t="s">
        <v>240</v>
      </c>
      <c r="C106" s="2" t="s">
        <v>232</v>
      </c>
      <c r="D106" s="2" t="s">
        <v>212</v>
      </c>
      <c r="E106" s="2" t="s">
        <v>213</v>
      </c>
      <c r="F106" s="3">
        <v>46127</v>
      </c>
      <c r="G106" s="4">
        <v>469</v>
      </c>
      <c r="H106" s="5">
        <v>21</v>
      </c>
      <c r="I106" s="3">
        <v>46143</v>
      </c>
      <c r="J106" s="3">
        <v>46143</v>
      </c>
      <c r="K106" s="7" t="s">
        <v>23</v>
      </c>
      <c r="L106" s="4">
        <v>22</v>
      </c>
      <c r="M106" s="4">
        <v>88</v>
      </c>
      <c r="N106" s="4">
        <v>381</v>
      </c>
      <c r="O106" s="6">
        <v>0.18763326226012789</v>
      </c>
      <c r="P106" s="2" t="s">
        <v>89</v>
      </c>
    </row>
    <row r="107" spans="1:16">
      <c r="A107" s="2" t="s">
        <v>241</v>
      </c>
      <c r="B107" s="2" t="s">
        <v>242</v>
      </c>
      <c r="C107" s="2" t="s">
        <v>216</v>
      </c>
      <c r="D107" s="2" t="s">
        <v>212</v>
      </c>
      <c r="E107" s="2" t="s">
        <v>227</v>
      </c>
      <c r="F107" s="3">
        <v>46119</v>
      </c>
      <c r="G107" s="4">
        <v>193</v>
      </c>
      <c r="H107" s="5">
        <v>10</v>
      </c>
      <c r="I107" s="3">
        <v>46143</v>
      </c>
      <c r="J107" s="3">
        <v>46143</v>
      </c>
      <c r="K107" s="7" t="s">
        <v>23</v>
      </c>
      <c r="L107" s="4">
        <v>19</v>
      </c>
      <c r="M107" s="4">
        <v>76</v>
      </c>
      <c r="N107" s="4">
        <v>117</v>
      </c>
      <c r="O107" s="6">
        <v>0.39378238341968907</v>
      </c>
      <c r="P107" s="2"/>
    </row>
    <row r="108" spans="1:16">
      <c r="A108" s="2" t="s">
        <v>243</v>
      </c>
      <c r="B108" s="2" t="s">
        <v>215</v>
      </c>
      <c r="C108" s="2" t="s">
        <v>216</v>
      </c>
      <c r="D108" s="2" t="s">
        <v>212</v>
      </c>
      <c r="E108" s="2" t="s">
        <v>213</v>
      </c>
      <c r="F108" s="3">
        <v>46119</v>
      </c>
      <c r="G108" s="4">
        <v>208</v>
      </c>
      <c r="H108" s="5">
        <v>12</v>
      </c>
      <c r="I108" s="3">
        <v>46204</v>
      </c>
      <c r="J108" s="3">
        <v>46204</v>
      </c>
      <c r="K108" s="7" t="s">
        <v>23</v>
      </c>
      <c r="L108" s="4">
        <v>17</v>
      </c>
      <c r="M108" s="4">
        <v>34</v>
      </c>
      <c r="N108" s="4">
        <v>174</v>
      </c>
      <c r="O108" s="6">
        <v>0.16346153846153841</v>
      </c>
      <c r="P108" s="2"/>
    </row>
    <row r="109" spans="1:16">
      <c r="A109" s="2" t="s">
        <v>244</v>
      </c>
      <c r="B109" s="2" t="s">
        <v>245</v>
      </c>
      <c r="C109" s="2" t="s">
        <v>211</v>
      </c>
      <c r="D109" s="2" t="s">
        <v>212</v>
      </c>
      <c r="E109" s="2" t="s">
        <v>227</v>
      </c>
      <c r="F109" s="3">
        <v>46147</v>
      </c>
      <c r="G109" s="4">
        <v>185</v>
      </c>
      <c r="H109" s="5">
        <v>12</v>
      </c>
      <c r="I109" s="3">
        <v>46204</v>
      </c>
      <c r="J109" s="3">
        <v>46204</v>
      </c>
      <c r="K109" s="7" t="s">
        <v>23</v>
      </c>
      <c r="L109" s="4">
        <v>15</v>
      </c>
      <c r="M109" s="4">
        <v>30</v>
      </c>
      <c r="N109" s="4">
        <v>155</v>
      </c>
      <c r="O109" s="6">
        <v>0.16216216216216209</v>
      </c>
      <c r="P109" s="2"/>
    </row>
    <row r="110" spans="1:16">
      <c r="A110" s="2" t="s">
        <v>246</v>
      </c>
      <c r="B110" s="2" t="s">
        <v>247</v>
      </c>
      <c r="C110" s="2" t="s">
        <v>216</v>
      </c>
      <c r="D110" s="2" t="s">
        <v>212</v>
      </c>
      <c r="E110" s="2" t="s">
        <v>227</v>
      </c>
      <c r="F110" s="3">
        <v>46157</v>
      </c>
      <c r="G110" s="4">
        <v>1170</v>
      </c>
      <c r="H110" s="5">
        <v>12</v>
      </c>
      <c r="I110" s="3">
        <v>46204</v>
      </c>
      <c r="J110" s="3">
        <v>46204</v>
      </c>
      <c r="K110" s="7" t="s">
        <v>23</v>
      </c>
      <c r="L110" s="4">
        <v>98</v>
      </c>
      <c r="M110" s="4">
        <v>196</v>
      </c>
      <c r="N110" s="4">
        <v>974</v>
      </c>
      <c r="O110" s="6">
        <v>0.16752136752136751</v>
      </c>
      <c r="P110" s="2"/>
    </row>
    <row r="111" spans="1:16">
      <c r="A111" s="2" t="s">
        <v>248</v>
      </c>
      <c r="B111" s="2" t="s">
        <v>247</v>
      </c>
      <c r="C111" s="2" t="s">
        <v>216</v>
      </c>
      <c r="D111" s="2" t="s">
        <v>212</v>
      </c>
      <c r="E111" s="2" t="s">
        <v>227</v>
      </c>
      <c r="F111" s="3">
        <v>46159</v>
      </c>
      <c r="G111" s="4">
        <v>416</v>
      </c>
      <c r="H111" s="5">
        <v>18</v>
      </c>
      <c r="I111" s="3">
        <v>46174</v>
      </c>
      <c r="J111" s="3">
        <v>46174</v>
      </c>
      <c r="K111" s="7" t="s">
        <v>23</v>
      </c>
      <c r="L111" s="4">
        <v>23</v>
      </c>
      <c r="M111" s="4">
        <v>69</v>
      </c>
      <c r="N111" s="4">
        <v>347</v>
      </c>
      <c r="O111" s="6">
        <v>0.16586538461538461</v>
      </c>
      <c r="P111" s="2"/>
    </row>
    <row r="112" spans="1:16">
      <c r="A112" s="2" t="s">
        <v>249</v>
      </c>
      <c r="B112" s="2" t="s">
        <v>250</v>
      </c>
      <c r="C112" s="2" t="s">
        <v>219</v>
      </c>
      <c r="D112" s="2" t="s">
        <v>212</v>
      </c>
      <c r="E112" s="2" t="s">
        <v>213</v>
      </c>
      <c r="F112" s="3">
        <v>46145</v>
      </c>
      <c r="G112" s="4">
        <v>358</v>
      </c>
      <c r="H112" s="5">
        <v>5</v>
      </c>
      <c r="I112" s="3">
        <v>46174</v>
      </c>
      <c r="J112" s="3">
        <v>46174</v>
      </c>
      <c r="K112" s="7" t="s">
        <v>23</v>
      </c>
      <c r="L112" s="4">
        <v>72</v>
      </c>
      <c r="M112" s="4">
        <v>216</v>
      </c>
      <c r="N112" s="4">
        <v>142</v>
      </c>
      <c r="O112" s="6">
        <v>0.6033519553072626</v>
      </c>
      <c r="P112" s="2"/>
    </row>
    <row r="113" spans="1:16">
      <c r="A113" s="2" t="s">
        <v>251</v>
      </c>
      <c r="B113" s="2" t="s">
        <v>252</v>
      </c>
      <c r="C113" s="2" t="s">
        <v>232</v>
      </c>
      <c r="D113" s="2" t="s">
        <v>212</v>
      </c>
      <c r="E113" s="2" t="s">
        <v>227</v>
      </c>
      <c r="F113" s="3">
        <v>46183</v>
      </c>
      <c r="G113" s="4">
        <v>324</v>
      </c>
      <c r="H113" s="5">
        <v>8</v>
      </c>
      <c r="I113" s="3">
        <v>46204</v>
      </c>
      <c r="J113" s="3">
        <v>46204</v>
      </c>
      <c r="K113" s="7" t="s">
        <v>23</v>
      </c>
      <c r="L113" s="4">
        <v>40</v>
      </c>
      <c r="M113" s="4">
        <v>80</v>
      </c>
      <c r="N113" s="4">
        <v>244</v>
      </c>
      <c r="O113" s="6">
        <v>0.24691358024691351</v>
      </c>
      <c r="P113" s="2"/>
    </row>
    <row r="114" spans="1:16">
      <c r="A114" s="2" t="s">
        <v>253</v>
      </c>
      <c r="B114" s="2" t="s">
        <v>254</v>
      </c>
      <c r="C114" s="2" t="s">
        <v>216</v>
      </c>
      <c r="D114" s="2" t="s">
        <v>212</v>
      </c>
      <c r="E114" s="2" t="s">
        <v>213</v>
      </c>
      <c r="F114" s="3">
        <v>46177</v>
      </c>
      <c r="G114" s="4">
        <v>129</v>
      </c>
      <c r="H114" s="5">
        <v>16</v>
      </c>
      <c r="I114" s="3">
        <v>46204</v>
      </c>
      <c r="J114" s="3">
        <v>46204</v>
      </c>
      <c r="K114" s="7" t="s">
        <v>23</v>
      </c>
      <c r="L114" s="4">
        <v>8</v>
      </c>
      <c r="M114" s="4">
        <v>16</v>
      </c>
      <c r="N114" s="4">
        <v>113</v>
      </c>
      <c r="O114" s="6">
        <v>0.1240310077519379</v>
      </c>
      <c r="P114" s="2"/>
    </row>
    <row r="115" spans="1:16">
      <c r="A115" s="2" t="s">
        <v>255</v>
      </c>
      <c r="B115" s="2" t="s">
        <v>256</v>
      </c>
      <c r="C115" s="2" t="s">
        <v>232</v>
      </c>
      <c r="D115" s="2" t="s">
        <v>212</v>
      </c>
      <c r="E115" s="2" t="s">
        <v>213</v>
      </c>
      <c r="F115" s="3">
        <v>46180</v>
      </c>
      <c r="G115" s="4">
        <v>535</v>
      </c>
      <c r="H115" s="5">
        <v>8</v>
      </c>
      <c r="I115" s="3">
        <v>46204</v>
      </c>
      <c r="J115" s="3">
        <v>46204</v>
      </c>
      <c r="K115" s="7" t="s">
        <v>23</v>
      </c>
      <c r="L115" s="4">
        <v>67</v>
      </c>
      <c r="M115" s="4">
        <v>134</v>
      </c>
      <c r="N115" s="4">
        <v>401</v>
      </c>
      <c r="O115" s="6">
        <v>0.25046728971962617</v>
      </c>
      <c r="P115" s="2"/>
    </row>
    <row r="116" spans="1:16">
      <c r="A116" s="2" t="s">
        <v>257</v>
      </c>
      <c r="B116" s="2" t="s">
        <v>245</v>
      </c>
      <c r="C116" s="2" t="s">
        <v>211</v>
      </c>
      <c r="D116" s="2" t="s">
        <v>212</v>
      </c>
      <c r="E116" s="2" t="s">
        <v>213</v>
      </c>
      <c r="F116" s="3">
        <v>46193</v>
      </c>
      <c r="G116" s="4">
        <v>368</v>
      </c>
      <c r="H116" s="5">
        <v>11</v>
      </c>
      <c r="I116" s="3">
        <v>46266</v>
      </c>
      <c r="J116" s="3"/>
      <c r="K116" s="7" t="s">
        <v>72</v>
      </c>
      <c r="L116" s="4">
        <v>0</v>
      </c>
      <c r="M116" s="4">
        <v>0</v>
      </c>
      <c r="N116" s="4">
        <v>368</v>
      </c>
      <c r="O116" s="6">
        <v>0</v>
      </c>
      <c r="P116" s="2" t="s">
        <v>94</v>
      </c>
    </row>
    <row r="117" spans="1:16">
      <c r="A117" s="2" t="s">
        <v>258</v>
      </c>
      <c r="B117" s="2" t="s">
        <v>259</v>
      </c>
      <c r="C117" s="2" t="s">
        <v>211</v>
      </c>
      <c r="D117" s="2" t="s">
        <v>212</v>
      </c>
      <c r="E117" s="2" t="s">
        <v>213</v>
      </c>
      <c r="F117" s="3">
        <v>46191</v>
      </c>
      <c r="G117" s="4">
        <v>431</v>
      </c>
      <c r="H117" s="5">
        <v>8</v>
      </c>
      <c r="I117" s="3">
        <v>46235</v>
      </c>
      <c r="J117" s="3">
        <v>46235</v>
      </c>
      <c r="K117" s="7" t="s">
        <v>23</v>
      </c>
      <c r="L117" s="4">
        <v>54</v>
      </c>
      <c r="M117" s="4">
        <v>54</v>
      </c>
      <c r="N117" s="4">
        <v>377</v>
      </c>
      <c r="O117" s="6">
        <v>0.12529002320185609</v>
      </c>
      <c r="P117" s="2" t="s">
        <v>89</v>
      </c>
    </row>
    <row r="118" spans="1:16">
      <c r="A118" s="2" t="s">
        <v>260</v>
      </c>
      <c r="B118" s="2" t="s">
        <v>240</v>
      </c>
      <c r="C118" s="2" t="s">
        <v>232</v>
      </c>
      <c r="D118" s="2" t="s">
        <v>212</v>
      </c>
      <c r="E118" s="2" t="s">
        <v>213</v>
      </c>
      <c r="F118" s="3">
        <v>46198</v>
      </c>
      <c r="G118" s="4">
        <v>1093</v>
      </c>
      <c r="H118" s="5">
        <v>6</v>
      </c>
      <c r="I118" s="3">
        <v>46204</v>
      </c>
      <c r="J118" s="3">
        <v>46204</v>
      </c>
      <c r="K118" s="7" t="s">
        <v>23</v>
      </c>
      <c r="L118" s="4">
        <v>182</v>
      </c>
      <c r="M118" s="4">
        <v>364</v>
      </c>
      <c r="N118" s="4">
        <v>729</v>
      </c>
      <c r="O118" s="6">
        <v>0.33302836230558092</v>
      </c>
      <c r="P118" s="2"/>
    </row>
    <row r="119" spans="1:16">
      <c r="A119" s="2" t="s">
        <v>261</v>
      </c>
      <c r="B119" s="2" t="s">
        <v>238</v>
      </c>
      <c r="C119" s="2" t="s">
        <v>211</v>
      </c>
      <c r="D119" s="2" t="s">
        <v>212</v>
      </c>
      <c r="E119" s="2" t="s">
        <v>213</v>
      </c>
      <c r="F119" s="3">
        <v>46209</v>
      </c>
      <c r="G119" s="4">
        <v>658</v>
      </c>
      <c r="H119" s="5">
        <v>10</v>
      </c>
      <c r="I119" s="3">
        <v>46266</v>
      </c>
      <c r="J119" s="3"/>
      <c r="K119" s="7" t="s">
        <v>72</v>
      </c>
      <c r="L119" s="4">
        <v>0</v>
      </c>
      <c r="M119" s="4">
        <v>0</v>
      </c>
      <c r="N119" s="4">
        <v>658</v>
      </c>
      <c r="O119" s="6">
        <v>0</v>
      </c>
      <c r="P119" s="2"/>
    </row>
    <row r="120" spans="1:16">
      <c r="A120" s="2" t="s">
        <v>262</v>
      </c>
      <c r="B120" s="2" t="s">
        <v>263</v>
      </c>
      <c r="C120" s="2" t="s">
        <v>216</v>
      </c>
      <c r="D120" s="2" t="s">
        <v>212</v>
      </c>
      <c r="E120" s="2" t="s">
        <v>227</v>
      </c>
      <c r="F120" s="3">
        <v>46219</v>
      </c>
      <c r="G120" s="4">
        <v>907</v>
      </c>
      <c r="H120" s="5">
        <v>10</v>
      </c>
      <c r="I120" s="3">
        <v>46266</v>
      </c>
      <c r="J120" s="3"/>
      <c r="K120" s="7" t="s">
        <v>72</v>
      </c>
      <c r="L120" s="4">
        <v>0</v>
      </c>
      <c r="M120" s="4">
        <v>0</v>
      </c>
      <c r="N120" s="4">
        <v>907</v>
      </c>
      <c r="O120" s="6">
        <v>0</v>
      </c>
      <c r="P120" s="2"/>
    </row>
    <row r="121" spans="1:16">
      <c r="A121" s="2" t="s">
        <v>264</v>
      </c>
      <c r="B121" s="2" t="s">
        <v>238</v>
      </c>
      <c r="C121" s="2" t="s">
        <v>211</v>
      </c>
      <c r="D121" s="2" t="s">
        <v>212</v>
      </c>
      <c r="E121" s="2" t="s">
        <v>213</v>
      </c>
      <c r="F121" s="3">
        <v>46223</v>
      </c>
      <c r="G121" s="4">
        <v>557</v>
      </c>
      <c r="H121" s="5">
        <v>9</v>
      </c>
      <c r="I121" s="3">
        <v>46235</v>
      </c>
      <c r="J121" s="3">
        <v>46235</v>
      </c>
      <c r="K121" s="7" t="s">
        <v>23</v>
      </c>
      <c r="L121" s="4">
        <v>62</v>
      </c>
      <c r="M121" s="4">
        <v>62</v>
      </c>
      <c r="N121" s="4">
        <v>495</v>
      </c>
      <c r="O121" s="6">
        <v>0.11131059245960501</v>
      </c>
      <c r="P121" s="2"/>
    </row>
    <row r="122" spans="1:16">
      <c r="A122" s="2" t="s">
        <v>265</v>
      </c>
      <c r="B122" s="2" t="s">
        <v>266</v>
      </c>
      <c r="C122" s="2" t="s">
        <v>211</v>
      </c>
      <c r="D122" s="2" t="s">
        <v>212</v>
      </c>
      <c r="E122" s="2" t="s">
        <v>213</v>
      </c>
      <c r="F122" s="3">
        <v>46254</v>
      </c>
      <c r="G122" s="4">
        <v>497</v>
      </c>
      <c r="H122" s="5">
        <v>8</v>
      </c>
      <c r="I122" s="3">
        <v>46296</v>
      </c>
      <c r="J122" s="3"/>
      <c r="K122" s="7" t="s">
        <v>72</v>
      </c>
      <c r="L122" s="4">
        <v>0</v>
      </c>
      <c r="M122" s="4">
        <v>0</v>
      </c>
      <c r="N122" s="4">
        <v>497</v>
      </c>
      <c r="O122" s="6">
        <v>0</v>
      </c>
      <c r="P122" s="2"/>
    </row>
    <row r="123" spans="1:16">
      <c r="A123" s="2" t="s">
        <v>267</v>
      </c>
      <c r="B123" s="2" t="s">
        <v>268</v>
      </c>
      <c r="C123" s="2" t="s">
        <v>216</v>
      </c>
      <c r="D123" s="2" t="s">
        <v>212</v>
      </c>
      <c r="E123" s="2" t="s">
        <v>213</v>
      </c>
      <c r="F123" s="3">
        <v>46255</v>
      </c>
      <c r="G123" s="4">
        <v>350</v>
      </c>
      <c r="H123" s="5">
        <v>4</v>
      </c>
      <c r="I123" s="3">
        <v>46266</v>
      </c>
      <c r="J123" s="3"/>
      <c r="K123" s="7" t="s">
        <v>72</v>
      </c>
      <c r="L123" s="4">
        <v>0</v>
      </c>
      <c r="M123" s="4">
        <v>0</v>
      </c>
      <c r="N123" s="4">
        <v>350</v>
      </c>
      <c r="O123" s="6">
        <v>0</v>
      </c>
      <c r="P123" s="2"/>
    </row>
    <row r="124" spans="1:16">
      <c r="A124" s="2" t="s">
        <v>269</v>
      </c>
      <c r="B124" s="2" t="s">
        <v>270</v>
      </c>
      <c r="C124" s="2" t="s">
        <v>211</v>
      </c>
      <c r="D124" s="2" t="s">
        <v>212</v>
      </c>
      <c r="E124" s="2" t="s">
        <v>213</v>
      </c>
      <c r="F124" s="3">
        <v>46261</v>
      </c>
      <c r="G124" s="4">
        <v>345</v>
      </c>
      <c r="H124" s="5">
        <v>4</v>
      </c>
      <c r="I124" s="3">
        <v>46266</v>
      </c>
      <c r="J124" s="3"/>
      <c r="K124" s="7" t="s">
        <v>72</v>
      </c>
      <c r="L124" s="4">
        <v>0</v>
      </c>
      <c r="M124" s="4">
        <v>0</v>
      </c>
      <c r="N124" s="4">
        <v>345</v>
      </c>
      <c r="O124" s="6">
        <v>0</v>
      </c>
      <c r="P124" s="2"/>
    </row>
    <row r="126" spans="1:16">
      <c r="A126" s="23" t="s">
        <v>271</v>
      </c>
      <c r="B126" s="23"/>
      <c r="C126" s="23"/>
      <c r="D126" s="23"/>
      <c r="E126" s="23"/>
      <c r="F126" s="23"/>
      <c r="G126" s="9">
        <f>SUM(G4:G124)</f>
        <v>61000</v>
      </c>
      <c r="H126" s="8"/>
      <c r="I126" s="8"/>
      <c r="J126" s="8"/>
      <c r="K126" s="8"/>
      <c r="L126" s="9">
        <f>SUM(L4:L124)</f>
        <v>5713</v>
      </c>
      <c r="M126" s="9">
        <f>SUM(M4:M124)</f>
        <v>19274</v>
      </c>
      <c r="N126" s="9">
        <f>SUM(N4:N124)</f>
        <v>41726</v>
      </c>
      <c r="O126" s="10">
        <f>M126/G126</f>
        <v>0.31596721311475412</v>
      </c>
      <c r="P126" s="8"/>
    </row>
  </sheetData>
  <mergeCells count="3">
    <mergeCell ref="A1:P1"/>
    <mergeCell ref="A2:P2"/>
    <mergeCell ref="A126:F126"/>
  </mergeCells>
  <conditionalFormatting sqref="K4:K124">
    <cfRule type="containsText" dxfId="27" priority="1" operator="containsText" text="착수대기">
      <formula>NOT(ISERROR(SEARCH("착수대기",K4)))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2056-32C4-4B7D-9D26-1D8F0F2F94A1}">
  <dimension ref="A1:G9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1.7109375" customWidth="1"/>
    <col min="3" max="3" width="12.7109375" customWidth="1"/>
    <col min="4" max="4" width="15.7109375" customWidth="1"/>
    <col min="5" max="5" width="16.7109375" customWidth="1"/>
    <col min="6" max="6" width="12.7109375" customWidth="1"/>
    <col min="7" max="7" width="16.7109375" customWidth="1"/>
  </cols>
  <sheetData>
    <row r="1" spans="1:7">
      <c r="A1" s="24" t="s">
        <v>272</v>
      </c>
      <c r="B1" s="24"/>
      <c r="C1" s="24"/>
      <c r="D1" s="24"/>
      <c r="E1" s="24"/>
      <c r="F1" s="24"/>
      <c r="G1" s="24"/>
    </row>
    <row r="2" spans="1:7">
      <c r="A2" s="25" t="s">
        <v>273</v>
      </c>
      <c r="B2" s="25"/>
      <c r="C2" s="25"/>
      <c r="D2" s="25"/>
      <c r="E2" s="25"/>
      <c r="F2" s="25"/>
      <c r="G2" s="25"/>
    </row>
    <row r="3" spans="1:7">
      <c r="A3" s="13" t="s">
        <v>5</v>
      </c>
      <c r="B3" s="13" t="s">
        <v>274</v>
      </c>
      <c r="C3" s="13" t="s">
        <v>8</v>
      </c>
      <c r="D3" s="13" t="s">
        <v>13</v>
      </c>
      <c r="E3" s="13" t="s">
        <v>14</v>
      </c>
      <c r="F3" s="13" t="s">
        <v>15</v>
      </c>
      <c r="G3" s="13" t="s">
        <v>275</v>
      </c>
    </row>
    <row r="4" spans="1:7">
      <c r="A4" s="2" t="s">
        <v>21</v>
      </c>
      <c r="B4" s="4">
        <v>31</v>
      </c>
      <c r="C4" s="4">
        <v>15408</v>
      </c>
      <c r="D4" s="4">
        <v>1505</v>
      </c>
      <c r="E4" s="4">
        <v>4883</v>
      </c>
      <c r="F4" s="4">
        <v>10525</v>
      </c>
      <c r="G4" s="6">
        <v>0.31688</v>
      </c>
    </row>
    <row r="5" spans="1:7">
      <c r="A5" s="2" t="s">
        <v>87</v>
      </c>
      <c r="B5" s="4">
        <v>26</v>
      </c>
      <c r="C5" s="4">
        <v>11668</v>
      </c>
      <c r="D5" s="4">
        <v>1077</v>
      </c>
      <c r="E5" s="4">
        <v>3616</v>
      </c>
      <c r="F5" s="4">
        <v>8052</v>
      </c>
      <c r="G5" s="6">
        <v>0.30992999999999998</v>
      </c>
    </row>
    <row r="6" spans="1:7">
      <c r="A6" s="2" t="s">
        <v>145</v>
      </c>
      <c r="B6" s="4">
        <v>34</v>
      </c>
      <c r="C6" s="4">
        <v>18642</v>
      </c>
      <c r="D6" s="4">
        <v>1787</v>
      </c>
      <c r="E6" s="4">
        <v>6131</v>
      </c>
      <c r="F6" s="4">
        <v>12511</v>
      </c>
      <c r="G6" s="6">
        <v>0.32888000000000001</v>
      </c>
    </row>
    <row r="7" spans="1:7">
      <c r="A7" s="2" t="s">
        <v>212</v>
      </c>
      <c r="B7" s="4">
        <v>30</v>
      </c>
      <c r="C7" s="4">
        <v>15282</v>
      </c>
      <c r="D7" s="4">
        <v>1344</v>
      </c>
      <c r="E7" s="4">
        <v>4644</v>
      </c>
      <c r="F7" s="4">
        <v>10638</v>
      </c>
      <c r="G7" s="6">
        <v>0.30387999999999998</v>
      </c>
    </row>
    <row r="8" spans="1:7">
      <c r="A8" s="14" t="s">
        <v>276</v>
      </c>
      <c r="B8" s="15">
        <v>121</v>
      </c>
      <c r="C8" s="15">
        <v>61000</v>
      </c>
      <c r="D8" s="15">
        <v>5713</v>
      </c>
      <c r="E8" s="15">
        <v>19274</v>
      </c>
      <c r="F8" s="15">
        <v>41726</v>
      </c>
      <c r="G8" s="16">
        <v>0.31596999999999997</v>
      </c>
    </row>
    <row r="9" spans="1:7">
      <c r="A9" s="2"/>
      <c r="B9" s="2"/>
      <c r="C9" s="2"/>
      <c r="D9" s="2"/>
      <c r="E9" s="2"/>
      <c r="F9" s="2"/>
      <c r="G9" s="2"/>
    </row>
  </sheetData>
  <mergeCells count="2">
    <mergeCell ref="A1:G1"/>
    <mergeCell ref="A2:G2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0176-175F-46F6-B96F-C8A0ACC5DEC6}">
  <dimension ref="A1:H29"/>
  <sheetViews>
    <sheetView workbookViewId="0"/>
  </sheetViews>
  <sheetFormatPr defaultRowHeight="15"/>
  <cols>
    <col min="1" max="1" width="55.7109375" customWidth="1"/>
    <col min="2" max="2" width="70.7109375" customWidth="1"/>
  </cols>
  <sheetData>
    <row r="1" spans="1:8">
      <c r="A1" s="26" t="s">
        <v>277</v>
      </c>
      <c r="B1" s="26"/>
      <c r="C1" s="26"/>
      <c r="D1" s="26"/>
      <c r="E1" s="26"/>
      <c r="F1" s="26"/>
      <c r="G1" s="26"/>
      <c r="H1" s="26"/>
    </row>
    <row r="3" spans="1:8">
      <c r="A3" s="17" t="s">
        <v>278</v>
      </c>
    </row>
    <row r="4" spans="1:8" ht="45" customHeight="1">
      <c r="A4" s="19" t="s">
        <v>279</v>
      </c>
      <c r="B4" s="19"/>
    </row>
    <row r="6" spans="1:8">
      <c r="A6" s="17" t="s">
        <v>280</v>
      </c>
    </row>
    <row r="7" spans="1:8" ht="20.25" customHeight="1">
      <c r="A7" s="19" t="s">
        <v>281</v>
      </c>
    </row>
    <row r="8" spans="1:8" ht="20.25" customHeight="1">
      <c r="A8" s="19" t="s">
        <v>282</v>
      </c>
    </row>
    <row r="9" spans="1:8" ht="20.25" customHeight="1">
      <c r="A9" s="19" t="s">
        <v>283</v>
      </c>
    </row>
    <row r="11" spans="1:8">
      <c r="A11" s="17" t="s">
        <v>284</v>
      </c>
    </row>
    <row r="12" spans="1:8" ht="39.75" customHeight="1">
      <c r="A12" s="20" t="s">
        <v>8</v>
      </c>
      <c r="B12" s="19" t="s">
        <v>285</v>
      </c>
    </row>
    <row r="13" spans="1:8" ht="39.75" customHeight="1">
      <c r="A13" s="20" t="s">
        <v>13</v>
      </c>
      <c r="B13" s="19" t="s">
        <v>286</v>
      </c>
    </row>
    <row r="14" spans="1:8" ht="54.75" customHeight="1">
      <c r="A14" s="20" t="s">
        <v>14</v>
      </c>
      <c r="B14" s="19" t="s">
        <v>287</v>
      </c>
    </row>
    <row r="15" spans="1:8" ht="30" customHeight="1">
      <c r="A15" s="20" t="s">
        <v>15</v>
      </c>
      <c r="B15" s="19" t="s">
        <v>288</v>
      </c>
    </row>
    <row r="16" spans="1:8" ht="20.25" customHeight="1">
      <c r="A16" s="20" t="s">
        <v>16</v>
      </c>
      <c r="B16" s="19" t="s">
        <v>289</v>
      </c>
    </row>
    <row r="18" spans="1:1">
      <c r="A18" s="17" t="s">
        <v>290</v>
      </c>
    </row>
    <row r="19" spans="1:1" ht="20.25" customHeight="1">
      <c r="A19" s="19" t="s">
        <v>291</v>
      </c>
    </row>
    <row r="20" spans="1:1" ht="60" customHeight="1">
      <c r="A20" s="19" t="s">
        <v>292</v>
      </c>
    </row>
    <row r="21" spans="1:1" ht="20.25" customHeight="1">
      <c r="A21" s="19" t="s">
        <v>293</v>
      </c>
    </row>
    <row r="22" spans="1:1" ht="30" customHeight="1">
      <c r="A22" s="19" t="s">
        <v>294</v>
      </c>
    </row>
    <row r="24" spans="1:1">
      <c r="A24" s="18" t="s">
        <v>295</v>
      </c>
    </row>
    <row r="25" spans="1:1" ht="45" customHeight="1">
      <c r="A25" s="21" t="s">
        <v>296</v>
      </c>
    </row>
    <row r="26" spans="1:1" ht="30" customHeight="1">
      <c r="A26" s="21" t="s">
        <v>297</v>
      </c>
    </row>
    <row r="27" spans="1:1" ht="30" customHeight="1">
      <c r="A27" s="21" t="s">
        <v>298</v>
      </c>
    </row>
    <row r="29" spans="1:1">
      <c r="A29" s="22" t="s">
        <v>299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i:0#.f|membership|suminlee@microsoft.com</cp:lastModifiedBy>
  <cp:revision/>
  <dcterms:created xsi:type="dcterms:W3CDTF">2026-09-14T05:21:37Z</dcterms:created>
  <dcterms:modified xsi:type="dcterms:W3CDTF">2026-09-14T05:26:12Z</dcterms:modified>
  <cp:category/>
  <cp:contentStatus/>
</cp:coreProperties>
</file>