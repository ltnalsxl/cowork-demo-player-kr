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2"/>
  <workbookPr/>
  <xr:revisionPtr revIDLastSave="472" documentId="11_C233DDBABB56150F97E819E7E0BCBE8359B1E8BC" xr6:coauthVersionLast="47" xr6:coauthVersionMax="47" xr10:uidLastSave="{4473517B-32B8-49AE-BCB7-450640879F4F}"/>
  <bookViews>
    <workbookView xWindow="0" yWindow="0" windowWidth="0" windowHeight="0" xr2:uid="{00000000-000D-0000-FFFF-FFFF00000000}"/>
  </bookViews>
  <sheets>
    <sheet name="README" sheetId="1" r:id="rId1"/>
    <sheet name="요약비교" sheetId="2" r:id="rId2"/>
    <sheet name="프로젝트별_대사표" sheetId="3" r:id="rId3"/>
    <sheet name="2027년_매출전망"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7" i="4" l="1"/>
  <c r="B26" i="4"/>
  <c r="B25" i="4"/>
  <c r="B24" i="4"/>
  <c r="B23" i="4"/>
  <c r="D20" i="4"/>
  <c r="C20" i="4"/>
  <c r="B20" i="4"/>
  <c r="D19" i="4"/>
  <c r="C19" i="4"/>
  <c r="B19" i="4"/>
  <c r="D18" i="4"/>
  <c r="D17" i="4"/>
  <c r="D16" i="4"/>
  <c r="D15" i="4"/>
  <c r="D14" i="4"/>
  <c r="D13" i="4"/>
  <c r="C9" i="4"/>
  <c r="B9" i="4"/>
  <c r="C8" i="4"/>
  <c r="C7" i="4"/>
  <c r="C6" i="4"/>
  <c r="G127" i="3"/>
  <c r="K126" i="3"/>
  <c r="J126" i="3"/>
  <c r="G126" i="3"/>
  <c r="D24" i="2"/>
  <c r="C24" i="2"/>
  <c r="B24" i="2"/>
  <c r="D23" i="2"/>
  <c r="D22" i="2"/>
  <c r="D21" i="2"/>
  <c r="D20" i="2"/>
  <c r="D16" i="2"/>
  <c r="C16" i="2"/>
  <c r="B16" i="2"/>
  <c r="D15" i="2"/>
  <c r="D14" i="2"/>
  <c r="C14" i="2"/>
  <c r="B14" i="2"/>
  <c r="D13" i="2"/>
  <c r="D12" i="2"/>
  <c r="D10" i="2"/>
  <c r="D9" i="2"/>
  <c r="D8" i="2"/>
  <c r="C8" i="2"/>
  <c r="B8" i="2"/>
  <c r="D7" i="2"/>
  <c r="D6" i="2"/>
</calcChain>
</file>

<file path=xl/sharedStrings.xml><?xml version="1.0" encoding="utf-8"?>
<sst xmlns="http://schemas.openxmlformats.org/spreadsheetml/2006/main" count="965" uniqueCount="356">
  <si>
    <t>2026년 8월 매출·수주 대사 분석 &amp; 2027년 매출 전망</t>
  </si>
  <si>
    <t>재무회계팀 매출마감 vs 영업기획팀 영업실적 — 경영회의 판단 자료 (단위: 백만원, 기준일 2026-09-14)</t>
  </si>
  <si>
    <t>■ 핵심 결론</t>
  </si>
  <si>
    <t>두 자료는 서로 다른 '사건'을 측정하므로 결론이 반대로 보입니다. 재무회계팀은 이미 수주된 계약의 진행률에 따라 실행되는 '매출'(과거 수주 물량의 소진)을 보고하고, 영업기획팀은 이번 달 새로 체결된 '수주'(미래 매출의 재원 확보)를 보고합니다. 8월 매출은 계획 대비 107.2%로 초과 달성(전년동월 대비 +18.1%)했지만, 8월 신규 수주는 목표 대비 81.1%에 그쳤고 전월 대비 -45.3% 급감했습니다. 두 숫자 모두 맞으며, 서로 다른 것을 측정하고 있을 뿐입니다.</t>
  </si>
  <si>
    <t>■ 1. 왜 정반대로 보이는가 — 근거</t>
  </si>
  <si>
    <t>(1) 인식기준 차이: 재무회계는 K-IFRS 제1115호 투입법 진행률 기준(수행의무 이행에 따라 인식)을 쓰고, 영업기획은 계약체결일(수주일) 기준을 씁니다. 같은 회사, 같은 8월이지만 '무엇이 일어난 달'인지의 정의 자체가 다릅니다.</t>
  </si>
  <si>
    <t>(2) 매출의 재원은 과거 수주다: 8월 매출 7,823 중 2026년에 수주한 121건(계약금액 합계 61,000) 가운데 8월까지 매출로 인식된 금액은 19,274(31.6%)뿐입니다. 나머지 41,726(68.4%)은 아직 미인식 상태이며, 8월 매출의 상당 부분은 2025년 이전에 수주해 이미 실행 중이던 backlog(계약자산)에서 나온 것입니다. 즉 매출은 '과거 수주의 결과물'이라 이번 달 신규 수주가 줄어도 즉시 흔들리지 않습니다.</t>
  </si>
  <si>
    <t>(3) 변동성 자체가 다른 지표: 매출은 전월대비 -1.9%로 완만하지만 수주는 전월대비 -45.3%로 급락했습니다. 수주는 개별 대형계약 체결 타이밍에 좌우되어 원래 월별 변동폭이 크고(예: 2026년 6월 10,700 → 8월 4,701), 매출은 다수 프로젝트의 진행률이 누적·평활되어 변동폭이 작습니다.</t>
  </si>
  <si>
    <t>(4) 각 보고서의 각주도 이 구조를 뒷받침합니다: 재무 각주는 '당월 인식액에는 7월 검수완료분 중 9월 청구예정 건이 포함(계약자산 계정)'이라 명시해 매출인식·청구 시점의 시차를 인정하고, 영업 각주는 '8월 수주 감소는 하계휴가·공공 상반기 발주 종료에 따른 계절 요인이며 9월 파이프라인 4,800 반영 시 회복 전망'이라 명시합니다 — 이는 영업본부의 추정치로, 아직 확정된 수치가 아닙니다.</t>
  </si>
  <si>
    <t>■ 경영진 제언</t>
  </si>
  <si>
    <t>어느 쪽이 맞는지'를 고르는 문제가 아니라, 매출(실행/후행 지표)과 수주(재원/선행 지표)를 함께 보아야 합니다. 8월 매출 호조는 과거에 쌓아둔 backlog를 소진한 결과이고, 8월 수주 급감이 일회성 계절요인이 아니라 추세로 이어질 경우 backlog 재충전 속도가 느려져 2027년 매출 성장이 둔화될 위험이 있습니다(상세 근거는 '2027년_매출전망' 시트 참조).</t>
  </si>
  <si>
    <t>■ 2. 시트 안내</t>
  </si>
  <si>
    <t>[요약비교] 재무회계·영업기획 8월/연누계 핵심지표 및 최근 12개월 매출-수주 추이 비교</t>
  </si>
  <si>
    <t>[프로젝트별_대사표] 2026년 수주 121건(영업기획 '2026년_수주상세', 합계행 제외)을 프로젝트코드로 재무회계 '미인식_계약잔액'/'프로젝트별_매출인식'과 연결하여 건별 계약금액·누적매출인식액·미인식잔액을 정리</t>
  </si>
  <si>
    <t>[2027년_매출전망] 전사 미인식 계약잔액(backlog)의 완료연도별 배분과 최근 매출·수주 속도를 근거로 한 2027년 매출 판단(추정치 포함)</t>
  </si>
  <si>
    <t>■ 3. 가정 및 데이터 한계 (추정치 표시)</t>
  </si>
  <si>
    <t>- 100% 인식 완료된 2건(P26-032, P26-012)은 재무회계 '미인식_계약잔액' 시트에 없어(잔액 0으로 제외) '프로젝트별_매출인식' 시트 값을 사용했습니다.</t>
  </si>
  <si>
    <t>- [추정] '2027년_매출전망' 시트의 완료연도별 backlog 배분은 영업기획 '진행중_프로젝트' 시트의 종료예정일을 기준으로 했으며, 실제 매출인식은 진행률(투입법)에 따라 달라질 수 있어 추정치입니다.</t>
  </si>
  <si>
    <t>- [추정] 영업기획이 언급한 '9월 파이프라인 4,800'은 영업본부 자체 전망치로, 본 분석에서 검증하지 않았습니다.</t>
  </si>
  <si>
    <t>- 양 파일의 '합계' 행(수주상세 시트 마지막 행 등)은 프로젝트 단위 대사에서 제외했습니다.</t>
  </si>
  <si>
    <t>8월 매출(재무회계) vs 수주(영업기획) 핵심지표 비교</t>
  </si>
  <si>
    <t>단위: 백만원 · 자료: [재무회계] 2026년 8월 매출마감 집계, [영업기획] 2026년 8월 영업실적 보고_v3</t>
  </si>
  <si>
    <t>구분</t>
  </si>
  <si>
    <t>재무회계 – 매출(진행률 인식)</t>
  </si>
  <si>
    <t>영업기획 – 수주(계약체결)</t>
  </si>
  <si>
    <t>차이(재무-영업)</t>
  </si>
  <si>
    <t>인식/집계 기준</t>
  </si>
  <si>
    <t>수행의무 이행률(K-IFRS1115, 투입법)</t>
  </si>
  <si>
    <t>계약체결일(수주일)</t>
  </si>
  <si>
    <t>사건 자체가 다름</t>
  </si>
  <si>
    <t>8월 합계</t>
  </si>
  <si>
    <t>8월 계획/목표</t>
  </si>
  <si>
    <t>8월 달성률</t>
  </si>
  <si>
    <t>전월 대비 증감률</t>
  </si>
  <si>
    <t>전년동월 대비 증감률</t>
  </si>
  <si>
    <t>연누계(1~8월) 합계</t>
  </si>
  <si>
    <t>연누계 계획/목표</t>
  </si>
  <si>
    <t>연누계 달성률</t>
  </si>
  <si>
    <t>연간계획/목표(연간)</t>
  </si>
  <si>
    <t>연간 진척률(8월누계/연간)</t>
  </si>
  <si>
    <t>수행팀별 8월 매출 vs 수주</t>
  </si>
  <si>
    <t>수행팀</t>
  </si>
  <si>
    <t>8월 매출인식액</t>
  </si>
  <si>
    <t>8월 수주실적</t>
  </si>
  <si>
    <t>차이</t>
  </si>
  <si>
    <t>제조1팀</t>
  </si>
  <si>
    <t>제조2팀</t>
  </si>
  <si>
    <t>공공팀</t>
  </si>
  <si>
    <t>금융팀</t>
  </si>
  <si>
    <t>합계</t>
  </si>
  <si>
    <t>최근 12개월 매출·수주 추이 (2025-09 ~ 2026-08)</t>
  </si>
  <si>
    <t>연월</t>
  </si>
  <si>
    <t>매출인식액</t>
  </si>
  <si>
    <t>신규수주액</t>
  </si>
  <si>
    <t>2025-09</t>
  </si>
  <si>
    <t>2025-10</t>
  </si>
  <si>
    <t>2025-11</t>
  </si>
  <si>
    <t>2025-12</t>
  </si>
  <si>
    <t>2026-01</t>
  </si>
  <si>
    <t>2026-02</t>
  </si>
  <si>
    <t>2026-03</t>
  </si>
  <si>
    <t>2026-04</t>
  </si>
  <si>
    <t>2026-05</t>
  </si>
  <si>
    <t>2026-06</t>
  </si>
  <si>
    <t>2026-07</t>
  </si>
  <si>
    <t>2026-08</t>
  </si>
  <si>
    <t>2026년 수주 프로젝트별 매출 대사표 (수주 ↔ 8월 매출인식, 프로젝트코드 기준 연결)</t>
  </si>
  <si>
    <t>단위: 백만원 · 2026년 신규수주 121건 전건(영업기획 '2026년_수주상세' 합계행 제외) · 누적매출인식액/미인식잔액은 재무회계 '미인식_계약잔액'(완료 2건은 '프로젝트별_매출인식') 시트 기준</t>
  </si>
  <si>
    <t>프로젝트코드</t>
  </si>
  <si>
    <t>프로젝트명</t>
  </si>
  <si>
    <t>고객사</t>
  </si>
  <si>
    <t>영업담당</t>
  </si>
  <si>
    <t>수주일</t>
  </si>
  <si>
    <t>계약금액</t>
  </si>
  <si>
    <t>착수예정일</t>
  </si>
  <si>
    <t>진행상태(영업)</t>
  </si>
  <si>
    <t>누적매출인식액(8월까지)</t>
  </si>
  <si>
    <t>미인식잔액</t>
  </si>
  <si>
    <t>진행률</t>
  </si>
  <si>
    <t>데이터출처</t>
  </si>
  <si>
    <t>P26-092</t>
  </si>
  <si>
    <t>한국기술표준원 노후 인프라 교체</t>
  </si>
  <si>
    <t>한국기술표준원</t>
  </si>
  <si>
    <t>임재혁</t>
  </si>
  <si>
    <t>진행중</t>
  </si>
  <si>
    <t>재무_미인식계약잔액</t>
  </si>
  <si>
    <t>P26-100</t>
  </si>
  <si>
    <t>유성중공업 정보보호 체계 강화</t>
  </si>
  <si>
    <t>유성중공업</t>
  </si>
  <si>
    <t>이지우</t>
  </si>
  <si>
    <t>P26-028</t>
  </si>
  <si>
    <t>태산머티리얼즈 차세대 시스템 구축</t>
  </si>
  <si>
    <t>태산머티리얼즈</t>
  </si>
  <si>
    <t>김도현</t>
  </si>
  <si>
    <t>P26-062</t>
  </si>
  <si>
    <t>유성중공업 BI 리포팅 고도화</t>
  </si>
  <si>
    <t>P26-065</t>
  </si>
  <si>
    <t>삼도정공 AI 품질검사 시스템</t>
  </si>
  <si>
    <t>삼도정공</t>
  </si>
  <si>
    <t>오다은</t>
  </si>
  <si>
    <t>P26-041</t>
  </si>
  <si>
    <t>무영증권 클라우드 전환</t>
  </si>
  <si>
    <t>무영증권</t>
  </si>
  <si>
    <t>강태인</t>
  </si>
  <si>
    <t>P26-105</t>
  </si>
  <si>
    <t>한국안전관리공단 그룹웨어 재구축</t>
  </si>
  <si>
    <t>한국안전관리공단</t>
  </si>
  <si>
    <t>착수대기</t>
  </si>
  <si>
    <t>P26-031</t>
  </si>
  <si>
    <t>한라테크 데이터 플랫폼 구축</t>
  </si>
  <si>
    <t>한라테크</t>
  </si>
  <si>
    <t>P26-088</t>
  </si>
  <si>
    <t>한라테크 MES 구축</t>
  </si>
  <si>
    <t>박서준</t>
  </si>
  <si>
    <t>P26-056</t>
  </si>
  <si>
    <t>국가물류정보원 정보보호 체계 강화</t>
  </si>
  <si>
    <t>국가물류정보원</t>
  </si>
  <si>
    <t>정하늘</t>
  </si>
  <si>
    <t>P26-021</t>
  </si>
  <si>
    <t>중앙환경자원공사 AI 품질검사 시스템</t>
  </si>
  <si>
    <t>중앙환경자원공사</t>
  </si>
  <si>
    <t>P26-017</t>
  </si>
  <si>
    <t>삼도정공 차세대 시스템 구축</t>
  </si>
  <si>
    <t>P26-071</t>
  </si>
  <si>
    <t>한국안전관리공단 데이터 플랫폼 구축</t>
  </si>
  <si>
    <t>P26-078</t>
  </si>
  <si>
    <t>유성중공업 AI 품질검사 시스템</t>
  </si>
  <si>
    <t>P26-015</t>
  </si>
  <si>
    <t>태산머티리얼즈 MES 구축</t>
  </si>
  <si>
    <t>신우석</t>
  </si>
  <si>
    <t>P26-106</t>
  </si>
  <si>
    <t>국가물류정보원 BI 리포팅 고도화</t>
  </si>
  <si>
    <t>P26-103</t>
  </si>
  <si>
    <t>삼도정공 정보보호 체계 강화</t>
  </si>
  <si>
    <t>P26-072</t>
  </si>
  <si>
    <t>한결은행 ERP 고도화</t>
  </si>
  <si>
    <t>한결은행</t>
  </si>
  <si>
    <t>윤서연</t>
  </si>
  <si>
    <t>P26-107</t>
  </si>
  <si>
    <t>청암카드 클라우드 전환</t>
  </si>
  <si>
    <t>청암카드</t>
  </si>
  <si>
    <t>P26-009</t>
  </si>
  <si>
    <t>수도권교통본부 MES 구축</t>
  </si>
  <si>
    <t>수도권교통본부</t>
  </si>
  <si>
    <t>최민서</t>
  </si>
  <si>
    <t>P26-063</t>
  </si>
  <si>
    <t>태산머티리얼즈 AI 품질검사 시스템</t>
  </si>
  <si>
    <t>P26-004</t>
  </si>
  <si>
    <t>유성중공업 차세대 시스템 구축</t>
  </si>
  <si>
    <t>P26-051</t>
  </si>
  <si>
    <t>광양소재 클라우드 전환</t>
  </si>
  <si>
    <t>광양소재</t>
  </si>
  <si>
    <t>P26-073</t>
  </si>
  <si>
    <t>한결은행 RPA 확산</t>
  </si>
  <si>
    <t>P26-101</t>
  </si>
  <si>
    <t>한빛전자 노후 인프라 교체</t>
  </si>
  <si>
    <t>한빛전자</t>
  </si>
  <si>
    <t>P26-027</t>
  </si>
  <si>
    <t>P26-030</t>
  </si>
  <si>
    <t>신성모빌리티 RPA 확산</t>
  </si>
  <si>
    <t>신성모빌리티</t>
  </si>
  <si>
    <t>P26-005</t>
  </si>
  <si>
    <t>광양소재 BI 리포팅 고도화</t>
  </si>
  <si>
    <t>P26-102</t>
  </si>
  <si>
    <t>P26-029</t>
  </si>
  <si>
    <t>한빛전자 MES 구축</t>
  </si>
  <si>
    <t>P26-025</t>
  </si>
  <si>
    <t>청암카드 RPA 확산</t>
  </si>
  <si>
    <t>P26-093</t>
  </si>
  <si>
    <t>수도권교통본부 정보보호 체계 강화</t>
  </si>
  <si>
    <t>P26-057</t>
  </si>
  <si>
    <t>P26-044</t>
  </si>
  <si>
    <t>태산머티리얼즈 정보보호 체계 강화</t>
  </si>
  <si>
    <t>P26-010</t>
  </si>
  <si>
    <t>한국안전관리공단 정보보호 체계 강화</t>
  </si>
  <si>
    <t>P26-082</t>
  </si>
  <si>
    <t>유성중공업 그룹웨어 재구축</t>
  </si>
  <si>
    <t>P26-104</t>
  </si>
  <si>
    <t>P26-049</t>
  </si>
  <si>
    <t>한빛전자 ERP 고도화</t>
  </si>
  <si>
    <t>P26-098</t>
  </si>
  <si>
    <t>한결은행 차세대 시스템 구축</t>
  </si>
  <si>
    <t>P26-042</t>
  </si>
  <si>
    <t>세종캐피탈 통합관제 시스템</t>
  </si>
  <si>
    <t>세종캐피탈</t>
  </si>
  <si>
    <t>P26-085</t>
  </si>
  <si>
    <t>한라테크 AI 품질검사 시스템</t>
  </si>
  <si>
    <t>P26-058</t>
  </si>
  <si>
    <t>무영증권 노후 인프라 교체</t>
  </si>
  <si>
    <t>P26-119</t>
  </si>
  <si>
    <t>무영증권 통합관제 시스템</t>
  </si>
  <si>
    <t>P26-037</t>
  </si>
  <si>
    <t>중앙환경자원공사 정보보호 체계 강화</t>
  </si>
  <si>
    <t>P26-019</t>
  </si>
  <si>
    <t>신성모빌리티 MES 구축</t>
  </si>
  <si>
    <t>P26-110</t>
  </si>
  <si>
    <t>동광기계 ERP 고도화</t>
  </si>
  <si>
    <t>동광기계</t>
  </si>
  <si>
    <t>P26-113</t>
  </si>
  <si>
    <t>광양소재 RPA 확산</t>
  </si>
  <si>
    <t>P26-108</t>
  </si>
  <si>
    <t>청암카드 BI 리포팅 고도화</t>
  </si>
  <si>
    <t>P26-001</t>
  </si>
  <si>
    <t>한빛전자 BI 리포팅 고도화</t>
  </si>
  <si>
    <t>P26-112</t>
  </si>
  <si>
    <t>P26-099</t>
  </si>
  <si>
    <t>우진정밀 차세대 시스템 구축</t>
  </si>
  <si>
    <t>우진정밀</t>
  </si>
  <si>
    <t>P26-074</t>
  </si>
  <si>
    <t>P26-014</t>
  </si>
  <si>
    <t>우진정밀 클라우드 전환</t>
  </si>
  <si>
    <t>P26-046</t>
  </si>
  <si>
    <t>P26-052</t>
  </si>
  <si>
    <t>P26-111</t>
  </si>
  <si>
    <t>우진정밀 정보보호 체계 강화</t>
  </si>
  <si>
    <t>P26-117</t>
  </si>
  <si>
    <t>한국안전관리공단 ERP 고도화</t>
  </si>
  <si>
    <t>P26-034</t>
  </si>
  <si>
    <t>수도권교통본부 데이터 플랫폼 구축</t>
  </si>
  <si>
    <t>P26-016</t>
  </si>
  <si>
    <t>동광기계 MES 구축</t>
  </si>
  <si>
    <t>P26-087</t>
  </si>
  <si>
    <t>광양소재 ERP 고도화</t>
  </si>
  <si>
    <t>P26-002</t>
  </si>
  <si>
    <t>태산머티리얼즈 그룹웨어 재구축</t>
  </si>
  <si>
    <t>P26-066</t>
  </si>
  <si>
    <t>P26-070</t>
  </si>
  <si>
    <t>수도권교통본부 클라우드 전환</t>
  </si>
  <si>
    <t>P26-095</t>
  </si>
  <si>
    <t>무영증권 데이터 플랫폼 구축</t>
  </si>
  <si>
    <t>P26-048</t>
  </si>
  <si>
    <t>한빛전자 정보보호 체계 강화</t>
  </si>
  <si>
    <t>P26-116</t>
  </si>
  <si>
    <t>중앙환경자원공사 MES 구축</t>
  </si>
  <si>
    <t>P26-109</t>
  </si>
  <si>
    <t>서원생명 차세대 시스템 구축</t>
  </si>
  <si>
    <t>서원생명</t>
  </si>
  <si>
    <t>P26-012</t>
  </si>
  <si>
    <t>한결은행 BI 리포팅 고도화</t>
  </si>
  <si>
    <t>완료</t>
  </si>
  <si>
    <t>재무_매출인식(완료건)</t>
  </si>
  <si>
    <t>P26-059</t>
  </si>
  <si>
    <t>세종캐피탈 RPA 확산</t>
  </si>
  <si>
    <t>P26-007</t>
  </si>
  <si>
    <t>대영화학 BI 리포팅 고도화</t>
  </si>
  <si>
    <t>대영화학</t>
  </si>
  <si>
    <t>P26-023</t>
  </si>
  <si>
    <t>P26-086</t>
  </si>
  <si>
    <t>광양소재 차세대 시스템 구축</t>
  </si>
  <si>
    <t>P26-067</t>
  </si>
  <si>
    <t>대영화학 RPA 확산</t>
  </si>
  <si>
    <t>P26-011</t>
  </si>
  <si>
    <t>서원생명 노후 인프라 교체</t>
  </si>
  <si>
    <t>P26-060</t>
  </si>
  <si>
    <t>P26-114</t>
  </si>
  <si>
    <t>삼도정공 BI 리포팅 고도화</t>
  </si>
  <si>
    <t>P26-081</t>
  </si>
  <si>
    <t>우진정밀 MES 구축</t>
  </si>
  <si>
    <t>P26-115</t>
  </si>
  <si>
    <t>광양소재 그룹웨어 재구축</t>
  </si>
  <si>
    <t>P26-094</t>
  </si>
  <si>
    <t>P26-018</t>
  </si>
  <si>
    <t>신성모빌리티 BI 리포팅 고도화</t>
  </si>
  <si>
    <t>P26-083</t>
  </si>
  <si>
    <t>한라테크 BI 리포팅 고도화</t>
  </si>
  <si>
    <t>P26-020</t>
  </si>
  <si>
    <t>한국안전관리공단 RPA 확산</t>
  </si>
  <si>
    <t>P26-038</t>
  </si>
  <si>
    <t>중앙환경자원공사 데이터 플랫폼 구축</t>
  </si>
  <si>
    <t>P26-013</t>
  </si>
  <si>
    <t>서원생명 정보보호 체계 강화</t>
  </si>
  <si>
    <t>P26-069</t>
  </si>
  <si>
    <t>수도권교통본부 RPA 확산</t>
  </si>
  <si>
    <t>P26-089</t>
  </si>
  <si>
    <t>P26-024</t>
  </si>
  <si>
    <t>세종캐피탈 클라우드 전환</t>
  </si>
  <si>
    <t>P26-118</t>
  </si>
  <si>
    <t>한국기술표준원 ERP 고도화</t>
  </si>
  <si>
    <t>P26-120</t>
  </si>
  <si>
    <t>P26-043</t>
  </si>
  <si>
    <t>한결은행 그룹웨어 재구축</t>
  </si>
  <si>
    <t>P26-080</t>
  </si>
  <si>
    <t>동광기계 차세대 시스템 구축</t>
  </si>
  <si>
    <t>P26-055</t>
  </si>
  <si>
    <t>국가물류정보원 그룹웨어 재구축</t>
  </si>
  <si>
    <t>P26-026</t>
  </si>
  <si>
    <t>P26-035</t>
  </si>
  <si>
    <t>P26-036</t>
  </si>
  <si>
    <t>한국기술표준원 통합관제 시스템</t>
  </si>
  <si>
    <t>P26-003</t>
  </si>
  <si>
    <t>P26-097</t>
  </si>
  <si>
    <t>P26-039</t>
  </si>
  <si>
    <t>한국기술표준원 그룹웨어 재구축</t>
  </si>
  <si>
    <t>P26-045</t>
  </si>
  <si>
    <t>동광기계 데이터 플랫폼 구축</t>
  </si>
  <si>
    <t>P26-032</t>
  </si>
  <si>
    <t>신성모빌리티 노후 인프라 교체</t>
  </si>
  <si>
    <t>P26-075</t>
  </si>
  <si>
    <t>P26-054</t>
  </si>
  <si>
    <t>삼도정공 그룹웨어 재구축</t>
  </si>
  <si>
    <t>P26-096</t>
  </si>
  <si>
    <t>청암카드 AI 품질검사 시스템</t>
  </si>
  <si>
    <t>P26-006</t>
  </si>
  <si>
    <t>P26-053</t>
  </si>
  <si>
    <t>삼도정공 ERP 고도화</t>
  </si>
  <si>
    <t>P26-050</t>
  </si>
  <si>
    <t>한라테크 노후 인프라 교체</t>
  </si>
  <si>
    <t>P26-077</t>
  </si>
  <si>
    <t>P26-064</t>
  </si>
  <si>
    <t>P26-061</t>
  </si>
  <si>
    <t>P26-090</t>
  </si>
  <si>
    <t>P26-033</t>
  </si>
  <si>
    <t>P26-047</t>
  </si>
  <si>
    <t>P26-008</t>
  </si>
  <si>
    <t>한국기술표준원 MES 구축</t>
  </si>
  <si>
    <t>P26-121</t>
  </si>
  <si>
    <t>한결은행 정보보호 체계 강화</t>
  </si>
  <si>
    <t>P26-091</t>
  </si>
  <si>
    <t>한국기술표준원 RPA 확산</t>
  </si>
  <si>
    <t>P26-068</t>
  </si>
  <si>
    <t>P26-040</t>
  </si>
  <si>
    <t>P26-022</t>
  </si>
  <si>
    <t>수도권교통본부 AI 품질검사 시스템</t>
  </si>
  <si>
    <t>P26-076</t>
  </si>
  <si>
    <t>우진정밀 RPA 확산</t>
  </si>
  <si>
    <t>P26-079</t>
  </si>
  <si>
    <t>P26-084</t>
  </si>
  <si>
    <t>삼도정공 클라우드 전환</t>
  </si>
  <si>
    <t>검증(계약금액-누적인식-미인식, 0이어야 함)</t>
  </si>
  <si>
    <t>2027년 매출 전망 — 미인식 계약잔액(Backlog) 소진·재충전 속도 분석</t>
  </si>
  <si>
    <t>단위: 백만원 · [추정] 표시가 붙은 항목은 추정치입니다</t>
  </si>
  <si>
    <t>A. 전사 미인식 계약잔액의 종료예정연도별 분배 (재무회계 '미인식_계약잔액' × 영업기획 '진행중_프로젝트' 종료예정일 연결)</t>
  </si>
  <si>
    <t>완료예정연도</t>
  </si>
  <si>
    <t>비중</t>
  </si>
  <si>
    <t>2026년</t>
  </si>
  <si>
    <t>2027년</t>
  </si>
  <si>
    <t>2028년</t>
  </si>
  <si>
    <t>B. 최근 6개월(2026.03~08) 매출인식 vs 신규수주 속도</t>
  </si>
  <si>
    <t>월</t>
  </si>
  <si>
    <t>매출인식액(재무)</t>
  </si>
  <si>
    <t>신규수주액(영업)</t>
  </si>
  <si>
    <t>순증감(수주-매출)</t>
  </si>
  <si>
    <t>6개월 합계</t>
  </si>
  <si>
    <t>6개월 월평균</t>
  </si>
  <si>
    <t>C. Backlog 소진 속도 추정 [추정]</t>
  </si>
  <si>
    <t>전체 미인식잔액 합계</t>
  </si>
  <si>
    <t>최근 6개월 매출인식 월평균(소진 속도)</t>
  </si>
  <si>
    <t>최근 6개월 신규수주 월평균(재충전 속도)</t>
  </si>
  <si>
    <t>현재 소진 속도 기준 잔존 개월수(=잔액÷월평균소진)</t>
  </si>
  <si>
    <t>8월 단일월 순증감(수주-매출, backlog 변화)</t>
  </si>
  <si>
    <t>D. 2027년 매출 판단</t>
  </si>
  <si>
    <t>[사실] 2026년 8월 말 기준 전사 미인식 계약잔액 46,579백만원 중 33,502(72%)가 2027년 종료예정 프로젝트에 배분되어 있어, 2027년 매출의 상당 부분은 이미 계약이 체결된 물량으로 확보되어 있습니다.</t>
  </si>
  <si>
    <t>[사실] 최근 6개월 평균으로는 신규수주(월평균 약 8,067)가 매출인식(월평균 약 7,140)보다 많아 backlog가 정상적으로는 늘어나야 하지만, 8월 단독으로는 수주(4,701)가 매출인식(7,823)보다 3,122 적어 backlog가 순감소했습니다.</t>
  </si>
  <si>
    <t>[추정] 이 추세가 9월 이후에도 지속된다면 backlog 재충전 속도가 느려져, 현재 소진 속도(월평균 약 7,140) 기준 약 6.5개월치 물량이 소진되는 점을 감안하면 2027년 하반기 이후 매출 성장률이 둔화될 수 있습니다.</t>
  </si>
  <si>
    <t>[추정/미검증] 반대로 영업본부가 언급한 '9월 파이프라인 4,800'이 실제 수주로 전환되고 계절요인(하계휴가, 공공 상반기 발주 종료)이 해소된다면 backlog는 정상 관측으로 복귀하고 2027년 매출에 미치는 영향은 제한적일 것입니다.</t>
  </si>
  <si>
    <t>[종합 판단/추정] 2027년 매출은 '이미 확보된 33,502백만원 backlog + 9월 이후 신규수주 중 2027년 착수/인식 개시분'으로 구성됩니다. 하방 리스크는 8월 수주 급감이 일시적 계절요인이 아니라 추세로 굴화되는 경우이며, 상방 요인은 9월 이후 수주 정상화 및 대형 계약 체결입니다. 단정적인 수치 예측은 제공하지 않으며, 9~10월 실제 수주 실적 확인이 필요합니다.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</si>
</sst>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yyyy\-mm\-dd"/>
    <numFmt numFmtId="166" formatCode="0.0&quot;개월&quot;"/>
    <numFmt numFmtId="167" formatCode="#,##0;\(#,##0\)"/>
  </numFmts>
  <fonts count="20">
    <font>
      <sz val="11"/>
      <color theme="1"/>
      <name val="Calibri"/>
      <family val="2"/>
      <scheme val="minor"/>
    </font>
    <font>
      <b/>
      <sz val="16"/>
      <color rgb="FF1F2A5C"/>
      <name val="Calibri"/>
    </font>
    <font>
      <i/>
      <sz val="10"/>
      <color rgb="FF444444"/>
      <name val="Calibri"/>
    </font>
    <font>
      <sz val="11"/>
      <color theme="1"/>
      <name val="Calibri"/>
    </font>
    <font>
      <b/>
      <sz val="11"/>
      <color theme="1"/>
      <name val="Calibri"/>
    </font>
    <font>
      <b/>
      <sz val="11"/>
      <color rgb="FFFFFFFF"/>
      <name val="Calibri"/>
    </font>
    <font>
      <b/>
      <sz val="12"/>
      <color rgb="FFFFFFFF"/>
      <name val="Calibri"/>
    </font>
    <font>
      <sz val="10.5"/>
      <color theme="1"/>
      <name val="Calibri"/>
    </font>
    <font>
      <i/>
      <sz val="10.5"/>
      <color rgb="FF555555"/>
      <name val="Calibri"/>
    </font>
    <font>
      <b/>
      <sz val="15"/>
      <color rgb="FF1F2A5C"/>
      <name val="Calibri"/>
    </font>
    <font>
      <i/>
      <sz val="9.5"/>
      <color rgb="FF555555"/>
      <name val="Calibri"/>
      <family val="2"/>
      <scheme val="minor"/>
    </font>
    <font>
      <b/>
      <sz val="10.5"/>
      <color rgb="FFFFFFFF"/>
      <name val="Calibri"/>
    </font>
    <font>
      <b/>
      <sz val="10.5"/>
      <color theme="1"/>
      <name val="Calibri"/>
    </font>
    <font>
      <b/>
      <sz val="10.5"/>
      <color rgb="FF1F2A5C"/>
      <name val="Calibri"/>
    </font>
    <font>
      <b/>
      <sz val="14"/>
      <color rgb="FF1F2A5C"/>
      <name val="Calibri"/>
    </font>
    <font>
      <i/>
      <sz val="9"/>
      <color rgb="FF555555"/>
      <name val="Calibri"/>
      <family val="2"/>
      <scheme val="minor"/>
    </font>
    <font>
      <sz val="10"/>
      <color theme="1"/>
      <name val="Calibri"/>
    </font>
    <font>
      <b/>
      <sz val="10"/>
      <color theme="1"/>
      <name val="Calibri"/>
    </font>
    <font>
      <i/>
      <sz val="10"/>
      <color rgb="FF555555"/>
      <name val="Calibri"/>
    </font>
    <font>
      <i/>
      <sz val="9.5"/>
      <color rgb="FF555555"/>
      <name val="Calibri"/>
    </font>
  </fonts>
  <fills count="5">
    <fill>
      <patternFill patternType="none"/>
    </fill>
    <fill>
      <patternFill patternType="gray125"/>
    </fill>
    <fill>
      <patternFill patternType="solid">
        <fgColor rgb="FF1F2A5C"/>
        <bgColor indexed="64"/>
      </patternFill>
    </fill>
    <fill>
      <patternFill patternType="solid">
        <fgColor rgb="FFEEF1F8"/>
        <bgColor indexed="64"/>
      </patternFill>
    </fill>
    <fill>
      <patternFill patternType="solid">
        <fgColor rgb="FFFFF3D6"/>
        <bgColor indexed="64"/>
      </patternFill>
    </fill>
  </fills>
  <borders count="1">
    <border>
      <left/>
      <right/>
      <top/>
      <bottom/>
      <diagonal/>
    </border>
  </borders>
  <cellStyleXfs count="1">
    <xf numFmtId="0" fontId="0" fillId="0" borderId="0"/>
  </cellStyleXfs>
  <cellXfs count="49">
    <xf numFmtId="0" fontId="0" fillId="0" borderId="0" xfId="0"/>
    <xf numFmtId="0" fontId="3" fillId="0" borderId="0" xfId="0" applyFont="1"/>
    <xf numFmtId="0" fontId="4" fillId="0" borderId="0" xfId="0" applyFont="1"/>
    <xf numFmtId="0" fontId="7" fillId="0" borderId="0" xfId="0" applyFont="1" applyAlignment="1">
      <alignment wrapText="1"/>
    </xf>
    <xf numFmtId="0" fontId="7" fillId="0" borderId="0" xfId="0" quotePrefix="1" applyFont="1" applyAlignment="1">
      <alignment wrapText="1"/>
    </xf>
    <xf numFmtId="0" fontId="8" fillId="0" borderId="0" xfId="0" applyFont="1" applyAlignment="1">
      <alignment wrapText="1"/>
    </xf>
    <xf numFmtId="0" fontId="5" fillId="2" borderId="0" xfId="0" applyFont="1" applyFill="1" applyAlignment="1">
      <alignment horizontal="center"/>
    </xf>
    <xf numFmtId="0" fontId="11" fillId="2" borderId="0" xfId="0" applyFont="1" applyFill="1" applyAlignment="1">
      <alignment horizontal="center"/>
    </xf>
    <xf numFmtId="0" fontId="7" fillId="0" borderId="0" xfId="0" applyFont="1"/>
    <xf numFmtId="0" fontId="7" fillId="3" borderId="0" xfId="0" applyFont="1" applyFill="1"/>
    <xf numFmtId="3" fontId="7" fillId="3" borderId="0" xfId="0" applyNumberFormat="1" applyFont="1" applyFill="1"/>
    <xf numFmtId="3" fontId="7" fillId="0" borderId="0" xfId="0" applyNumberFormat="1" applyFont="1"/>
    <xf numFmtId="164" fontId="7" fillId="0" borderId="0" xfId="0" applyNumberFormat="1" applyFont="1"/>
    <xf numFmtId="164" fontId="7" fillId="3" borderId="0" xfId="0" applyNumberFormat="1" applyFont="1" applyFill="1"/>
    <xf numFmtId="0" fontId="12" fillId="3" borderId="0" xfId="0" applyFont="1" applyFill="1"/>
    <xf numFmtId="164" fontId="12" fillId="3" borderId="0" xfId="0" applyNumberFormat="1" applyFont="1" applyFill="1"/>
    <xf numFmtId="3" fontId="12" fillId="3" borderId="0" xfId="0" applyNumberFormat="1" applyFont="1" applyFill="1"/>
    <xf numFmtId="0" fontId="12" fillId="4" borderId="0" xfId="0" applyFont="1" applyFill="1"/>
    <xf numFmtId="3" fontId="12" fillId="4" borderId="0" xfId="0" applyNumberFormat="1" applyFont="1" applyFill="1"/>
    <xf numFmtId="0" fontId="15" fillId="0" borderId="0" xfId="0" applyFont="1" applyAlignment="1">
      <alignment wrapText="1"/>
    </xf>
    <xf numFmtId="0" fontId="16" fillId="0" borderId="0" xfId="0" applyFont="1"/>
    <xf numFmtId="165" fontId="16" fillId="0" borderId="0" xfId="0" applyNumberFormat="1" applyFont="1"/>
    <xf numFmtId="3" fontId="16" fillId="0" borderId="0" xfId="0" applyNumberFormat="1" applyFont="1"/>
    <xf numFmtId="164" fontId="16" fillId="0" borderId="0" xfId="0" applyNumberFormat="1" applyFont="1"/>
    <xf numFmtId="0" fontId="17" fillId="3" borderId="0" xfId="0" applyFont="1" applyFill="1"/>
    <xf numFmtId="14" fontId="17" fillId="3" borderId="0" xfId="0" applyNumberFormat="1" applyFont="1" applyFill="1"/>
    <xf numFmtId="3" fontId="17" fillId="3" borderId="0" xfId="0" applyNumberFormat="1" applyFont="1" applyFill="1"/>
    <xf numFmtId="0" fontId="18" fillId="0" borderId="0" xfId="0" applyFont="1"/>
    <xf numFmtId="14" fontId="18" fillId="0" borderId="0" xfId="0" applyNumberFormat="1" applyFont="1"/>
    <xf numFmtId="3" fontId="18" fillId="0" borderId="0" xfId="0" applyNumberFormat="1" applyFont="1"/>
    <xf numFmtId="0" fontId="5" fillId="2" borderId="0" xfId="0" applyFont="1" applyFill="1" applyAlignment="1">
      <alignment wrapText="1"/>
    </xf>
    <xf numFmtId="0" fontId="4" fillId="3" borderId="0" xfId="0" applyFont="1" applyFill="1" applyAlignment="1">
      <alignment horizontal="center"/>
    </xf>
    <xf numFmtId="3" fontId="3" fillId="0" borderId="0" xfId="0" applyNumberFormat="1" applyFont="1"/>
    <xf numFmtId="164" fontId="3" fillId="0" borderId="0" xfId="0" applyNumberFormat="1" applyFont="1"/>
    <xf numFmtId="0" fontId="4" fillId="3" borderId="0" xfId="0" applyFont="1" applyFill="1"/>
    <xf numFmtId="3" fontId="4" fillId="3" borderId="0" xfId="0" applyNumberFormat="1" applyFont="1" applyFill="1"/>
    <xf numFmtId="164" fontId="4" fillId="3" borderId="0" xfId="0" applyNumberFormat="1" applyFont="1" applyFill="1"/>
    <xf numFmtId="166" fontId="3" fillId="0" borderId="0" xfId="0" applyNumberFormat="1" applyFont="1"/>
    <xf numFmtId="167" fontId="3" fillId="0" borderId="0" xfId="0" applyNumberFormat="1" applyFont="1"/>
    <xf numFmtId="0" fontId="12" fillId="4" borderId="0" xfId="0" applyFont="1" applyFill="1" applyAlignment="1">
      <alignment wrapText="1"/>
    </xf>
    <xf numFmtId="0" fontId="1" fillId="0" borderId="0" xfId="0" applyFont="1" applyAlignment="1"/>
    <xf numFmtId="0" fontId="2" fillId="0" borderId="0" xfId="0" applyFont="1" applyAlignment="1"/>
    <xf numFmtId="0" fontId="6" fillId="2" borderId="0" xfId="0" applyFont="1" applyFill="1" applyAlignment="1"/>
    <xf numFmtId="0" fontId="9" fillId="0" borderId="0" xfId="0" applyFont="1" applyAlignment="1"/>
    <xf numFmtId="0" fontId="10" fillId="0" borderId="0" xfId="0" applyFont="1" applyAlignment="1"/>
    <xf numFmtId="0" fontId="13" fillId="0" borderId="0" xfId="0" applyFont="1" applyAlignment="1"/>
    <xf numFmtId="0" fontId="14" fillId="0" borderId="0" xfId="0" applyFont="1" applyAlignment="1"/>
    <xf numFmtId="0" fontId="19" fillId="0" borderId="0" xfId="0" applyFont="1" applyAlignment="1"/>
    <xf numFmtId="0" fontId="5" fillId="2" borderId="0" xfId="0" applyFont="1" applyFill="1" applyAlignment="1"/>
  </cellXfs>
  <cellStyles count="1">
    <cellStyle name="Normal" xfId="0" builtinId="0"/>
  </cellStyles>
  <dxfs count="15">
    <dxf>
      <font>
        <sz val="10"/>
        <name val="Calibri"/>
      </font>
    </dxf>
    <dxf>
      <font>
        <sz val="10"/>
        <name val="Calibri"/>
      </font>
    </dxf>
    <dxf>
      <font>
        <sz val="10"/>
        <name val="Calibri"/>
      </font>
      <numFmt numFmtId="3" formatCode="#,##0"/>
    </dxf>
    <dxf>
      <font>
        <sz val="10"/>
        <name val="Calibri"/>
      </font>
      <numFmt numFmtId="3" formatCode="#,##0"/>
    </dxf>
    <dxf>
      <font>
        <sz val="10"/>
        <name val="Calibri"/>
      </font>
    </dxf>
    <dxf>
      <font>
        <sz val="10"/>
        <name val="Calibri"/>
      </font>
      <numFmt numFmtId="19" formatCode="m/d/yyyy"/>
    </dxf>
    <dxf>
      <font>
        <sz val="10"/>
        <name val="Calibri"/>
      </font>
      <numFmt numFmtId="3" formatCode="#,##0"/>
    </dxf>
    <dxf>
      <font>
        <sz val="10"/>
        <name val="Calibri"/>
      </font>
      <numFmt numFmtId="19" formatCode="m/d/yyyy"/>
    </dxf>
    <dxf>
      <font>
        <sz val="10"/>
        <name val="Calibri"/>
      </font>
    </dxf>
    <dxf>
      <font>
        <sz val="10"/>
        <name val="Calibri"/>
      </font>
    </dxf>
    <dxf>
      <font>
        <sz val="10"/>
        <name val="Calibri"/>
      </font>
    </dxf>
    <dxf>
      <font>
        <sz val="10"/>
        <name val="Calibri"/>
      </font>
    </dxf>
    <dxf>
      <font>
        <sz val="10"/>
        <name val="Calibri"/>
      </font>
    </dxf>
    <dxf>
      <font>
        <sz val="10"/>
        <name val="Calibri"/>
      </font>
    </dxf>
    <dxf>
      <font>
        <b/>
        <name val="Calibri"/>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ko-KR" altLang="en-US"/>
              <a:t>수주</a:t>
            </a:r>
            <a:r>
              <a:rPr lang="en-US" altLang="ko-KR"/>
              <a:t>(</a:t>
            </a:r>
            <a:r>
              <a:rPr lang="ko-KR" altLang="en-US"/>
              <a:t>선행</a:t>
            </a:r>
            <a:r>
              <a:rPr lang="en-US" altLang="ko-KR"/>
              <a:t>)</a:t>
            </a:r>
            <a:r>
              <a:rPr lang="ko-KR" altLang="en-US"/>
              <a:t>는 급감하는데 매출</a:t>
            </a:r>
            <a:r>
              <a:rPr lang="en-US" altLang="ko-KR"/>
              <a:t>(</a:t>
            </a:r>
            <a:r>
              <a:rPr lang="ko-KR" altLang="en-US"/>
              <a:t>후행</a:t>
            </a:r>
            <a:r>
              <a:rPr lang="en-US" altLang="ko-KR"/>
              <a:t>)</a:t>
            </a:r>
            <a:r>
              <a:rPr lang="ko-KR" altLang="en-US"/>
              <a:t>은 아직 견고 </a:t>
            </a:r>
            <a:r>
              <a:rPr lang="en-US" altLang="ko-KR"/>
              <a:t>— 8</a:t>
            </a:r>
            <a:r>
              <a:rPr lang="ko-KR" altLang="en-US"/>
              <a:t>월 걁이 발생</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요약비교!$A$28:$A$39</c:f>
              <c:strCache>
                <c:ptCount val="12"/>
                <c:pt idx="0">
                  <c:v>2025-09</c:v>
                </c:pt>
                <c:pt idx="1">
                  <c:v>2025-10</c:v>
                </c:pt>
                <c:pt idx="2">
                  <c:v>2025-11</c:v>
                </c:pt>
                <c:pt idx="3">
                  <c:v>2025-12</c:v>
                </c:pt>
                <c:pt idx="4">
                  <c:v>2026-01</c:v>
                </c:pt>
                <c:pt idx="5">
                  <c:v>2026-02</c:v>
                </c:pt>
                <c:pt idx="6">
                  <c:v>2026-03</c:v>
                </c:pt>
                <c:pt idx="7">
                  <c:v>2026-04</c:v>
                </c:pt>
                <c:pt idx="8">
                  <c:v>2026-05</c:v>
                </c:pt>
                <c:pt idx="9">
                  <c:v>2026-06</c:v>
                </c:pt>
                <c:pt idx="10">
                  <c:v>2026-07</c:v>
                </c:pt>
                <c:pt idx="11">
                  <c:v>2026-08</c:v>
                </c:pt>
              </c:strCache>
            </c:strRef>
          </c:cat>
          <c:val>
            <c:numRef>
              <c:f>요약비교!$B$28:$B$39</c:f>
              <c:numCache>
                <c:formatCode>#,##0</c:formatCode>
                <c:ptCount val="12"/>
                <c:pt idx="0">
                  <c:v>6780</c:v>
                </c:pt>
                <c:pt idx="1">
                  <c:v>6687</c:v>
                </c:pt>
                <c:pt idx="2">
                  <c:v>7147</c:v>
                </c:pt>
                <c:pt idx="3">
                  <c:v>6957</c:v>
                </c:pt>
                <c:pt idx="4">
                  <c:v>7089</c:v>
                </c:pt>
                <c:pt idx="5">
                  <c:v>7325</c:v>
                </c:pt>
                <c:pt idx="6">
                  <c:v>6928</c:v>
                </c:pt>
                <c:pt idx="7">
                  <c:v>6479</c:v>
                </c:pt>
                <c:pt idx="8">
                  <c:v>6723</c:v>
                </c:pt>
                <c:pt idx="9">
                  <c:v>6910</c:v>
                </c:pt>
                <c:pt idx="10">
                  <c:v>7974</c:v>
                </c:pt>
                <c:pt idx="11">
                  <c:v>7823</c:v>
                </c:pt>
              </c:numCache>
            </c:numRef>
          </c:val>
          <c:smooth val="0"/>
          <c:extLst>
            <c:ext xmlns:c16="http://schemas.microsoft.com/office/drawing/2014/chart" uri="{C3380CC4-5D6E-409C-BE32-E72D297353CC}">
              <c16:uniqueId val="{00000000-02F5-461A-9C0A-28C9B30D597A}"/>
            </c:ext>
          </c:extLst>
        </c:ser>
        <c:ser>
          <c:idx val="1"/>
          <c:order val="1"/>
          <c:spPr>
            <a:ln w="28575" cap="rnd">
              <a:solidFill>
                <a:schemeClr val="accent2"/>
              </a:solidFill>
              <a:round/>
            </a:ln>
            <a:effectLst/>
          </c:spPr>
          <c:marker>
            <c:symbol val="none"/>
          </c:marker>
          <c:cat>
            <c:strRef>
              <c:f>요약비교!$A$28:$A$39</c:f>
              <c:strCache>
                <c:ptCount val="12"/>
                <c:pt idx="0">
                  <c:v>2025-09</c:v>
                </c:pt>
                <c:pt idx="1">
                  <c:v>2025-10</c:v>
                </c:pt>
                <c:pt idx="2">
                  <c:v>2025-11</c:v>
                </c:pt>
                <c:pt idx="3">
                  <c:v>2025-12</c:v>
                </c:pt>
                <c:pt idx="4">
                  <c:v>2026-01</c:v>
                </c:pt>
                <c:pt idx="5">
                  <c:v>2026-02</c:v>
                </c:pt>
                <c:pt idx="6">
                  <c:v>2026-03</c:v>
                </c:pt>
                <c:pt idx="7">
                  <c:v>2026-04</c:v>
                </c:pt>
                <c:pt idx="8">
                  <c:v>2026-05</c:v>
                </c:pt>
                <c:pt idx="9">
                  <c:v>2026-06</c:v>
                </c:pt>
                <c:pt idx="10">
                  <c:v>2026-07</c:v>
                </c:pt>
                <c:pt idx="11">
                  <c:v>2026-08</c:v>
                </c:pt>
              </c:strCache>
            </c:strRef>
          </c:cat>
          <c:val>
            <c:numRef>
              <c:f>요약비교!$C$28:$C$39</c:f>
              <c:numCache>
                <c:formatCode>#,##0</c:formatCode>
                <c:ptCount val="12"/>
                <c:pt idx="0">
                  <c:v>7900</c:v>
                </c:pt>
                <c:pt idx="1">
                  <c:v>6800</c:v>
                </c:pt>
                <c:pt idx="2">
                  <c:v>7100</c:v>
                </c:pt>
                <c:pt idx="3">
                  <c:v>9400</c:v>
                </c:pt>
                <c:pt idx="4">
                  <c:v>5900</c:v>
                </c:pt>
                <c:pt idx="5">
                  <c:v>6700</c:v>
                </c:pt>
                <c:pt idx="6">
                  <c:v>9100</c:v>
                </c:pt>
                <c:pt idx="7">
                  <c:v>7400</c:v>
                </c:pt>
                <c:pt idx="8">
                  <c:v>7899</c:v>
                </c:pt>
                <c:pt idx="9">
                  <c:v>10700</c:v>
                </c:pt>
                <c:pt idx="10">
                  <c:v>8600</c:v>
                </c:pt>
                <c:pt idx="11">
                  <c:v>4701</c:v>
                </c:pt>
              </c:numCache>
            </c:numRef>
          </c:val>
          <c:smooth val="0"/>
          <c:extLst>
            <c:ext xmlns:c16="http://schemas.microsoft.com/office/drawing/2014/chart" uri="{C3380CC4-5D6E-409C-BE32-E72D297353CC}">
              <c16:uniqueId val="{00000002-02F5-461A-9C0A-28C9B30D597A}"/>
            </c:ext>
          </c:extLst>
        </c:ser>
        <c:dLbls>
          <c:showLegendKey val="0"/>
          <c:showVal val="0"/>
          <c:showCatName val="0"/>
          <c:showSerName val="0"/>
          <c:showPercent val="0"/>
          <c:showBubbleSize val="0"/>
        </c:dLbls>
        <c:smooth val="0"/>
        <c:axId val="78850568"/>
        <c:axId val="78875144"/>
      </c:lineChart>
      <c:catAx>
        <c:axId val="78850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75144"/>
        <c:crosses val="autoZero"/>
        <c:auto val="1"/>
        <c:lblAlgn val="ctr"/>
        <c:lblOffset val="100"/>
        <c:noMultiLvlLbl val="0"/>
      </c:catAx>
      <c:valAx>
        <c:axId val="788751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505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ko-KR" altLang="en-US"/>
              <a:t>미인식잔액 </a:t>
            </a:r>
            <a:r>
              <a:rPr lang="en-US" altLang="ko-KR"/>
              <a:t>46,579</a:t>
            </a:r>
            <a:r>
              <a:rPr lang="ko-KR" altLang="en-US"/>
              <a:t>백만원 중 </a:t>
            </a:r>
            <a:r>
              <a:rPr lang="en-US" altLang="ko-KR"/>
              <a:t>72%(33,502)</a:t>
            </a:r>
            <a:r>
              <a:rPr lang="ko-KR" altLang="en-US"/>
              <a:t>가 </a:t>
            </a:r>
            <a:r>
              <a:rPr lang="en-US" altLang="ko-KR"/>
              <a:t>2027</a:t>
            </a:r>
            <a:r>
              <a:rPr lang="ko-KR" altLang="en-US"/>
              <a:t>년 종료 예정</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'2027년_매출전망'!$A$6:$A$8</c:f>
              <c:strCache>
                <c:ptCount val="3"/>
                <c:pt idx="0">
                  <c:v>2026년</c:v>
                </c:pt>
                <c:pt idx="1">
                  <c:v>2027년</c:v>
                </c:pt>
                <c:pt idx="2">
                  <c:v>2028년</c:v>
                </c:pt>
              </c:strCache>
            </c:strRef>
          </c:cat>
          <c:val>
            <c:numRef>
              <c:f>'2027년_매출전망'!$B$6:$B$8</c:f>
              <c:numCache>
                <c:formatCode>#,##0</c:formatCode>
                <c:ptCount val="3"/>
                <c:pt idx="0">
                  <c:v>11605</c:v>
                </c:pt>
                <c:pt idx="1">
                  <c:v>33502</c:v>
                </c:pt>
                <c:pt idx="2">
                  <c:v>1472</c:v>
                </c:pt>
              </c:numCache>
            </c:numRef>
          </c:val>
          <c:extLst>
            <c:ext xmlns:c16="http://schemas.microsoft.com/office/drawing/2014/chart" uri="{C3380CC4-5D6E-409C-BE32-E72D297353CC}">
              <c16:uniqueId val="{00000000-05C0-40AE-B0E5-899824A2A4DB}"/>
            </c:ext>
          </c:extLst>
        </c:ser>
        <c:dLbls>
          <c:showLegendKey val="0"/>
          <c:showVal val="0"/>
          <c:showCatName val="0"/>
          <c:showSerName val="0"/>
          <c:showPercent val="0"/>
          <c:showBubbleSize val="0"/>
        </c:dLbls>
        <c:gapWidth val="219"/>
        <c:overlap val="-27"/>
        <c:axId val="84842504"/>
        <c:axId val="119448584"/>
      </c:barChart>
      <c:catAx>
        <c:axId val="84842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48584"/>
        <c:crosses val="autoZero"/>
        <c:auto val="1"/>
        <c:lblAlgn val="ctr"/>
        <c:lblOffset val="100"/>
        <c:noMultiLvlLbl val="0"/>
      </c:catAx>
      <c:valAx>
        <c:axId val="1194485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42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0</xdr:colOff>
      <xdr:row>3</xdr:row>
      <xdr:rowOff>0</xdr:rowOff>
    </xdr:from>
    <xdr:to>
      <xdr:col>14</xdr:col>
      <xdr:colOff>0</xdr:colOff>
      <xdr:row>20</xdr:row>
      <xdr:rowOff>0</xdr:rowOff>
    </xdr:to>
    <xdr:graphicFrame macro="">
      <xdr:nvGraphicFramePr>
        <xdr:cNvPr id="2" name="Chart 1">
          <a:extLst>
            <a:ext uri="{FF2B5EF4-FFF2-40B4-BE49-F238E27FC236}">
              <a16:creationId xmlns:a16="http://schemas.microsoft.com/office/drawing/2014/main" id="{7CAFD627-518F-DAD4-FA26-8ACDDAF540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3</xdr:row>
      <xdr:rowOff>0</xdr:rowOff>
    </xdr:from>
    <xdr:to>
      <xdr:col>11</xdr:col>
      <xdr:colOff>0</xdr:colOff>
      <xdr:row>18</xdr:row>
      <xdr:rowOff>0</xdr:rowOff>
    </xdr:to>
    <xdr:graphicFrame macro="">
      <xdr:nvGraphicFramePr>
        <xdr:cNvPr id="2" name="Chart 1">
          <a:extLst>
            <a:ext uri="{FF2B5EF4-FFF2-40B4-BE49-F238E27FC236}">
              <a16:creationId xmlns:a16="http://schemas.microsoft.com/office/drawing/2014/main" id="{016D7742-92FB-8EEB-9592-06D7D43E55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DF1C6E-34D4-4117-B228-415EB550DAB2}" name="ReconTable" displayName="ReconTable" ref="A4:M127" totalsRowShown="0" headerRowDxfId="14" dataDxfId="13">
  <autoFilter ref="A4:M127" xr:uid="{DCDF1C6E-34D4-4117-B228-415EB550DAB2}"/>
  <tableColumns count="13">
    <tableColumn id="1" xr3:uid="{6DF2FDC5-68CA-42E1-A0F6-9C5DB9A3A8A6}" name="프로젝트코드" dataDxfId="12"/>
    <tableColumn id="2" xr3:uid="{C1B74207-F9C4-4C72-9BA2-8838DEB0DFF0}" name="프로젝트명" dataDxfId="11"/>
    <tableColumn id="3" xr3:uid="{7735261A-50D9-4FA8-8AB9-168D4864252E}" name="고객사" dataDxfId="10"/>
    <tableColumn id="4" xr3:uid="{741008D2-FA85-41C6-B155-277CE06DAF82}" name="수행팀" dataDxfId="9"/>
    <tableColumn id="5" xr3:uid="{457CB6BA-5EB4-49BC-B0B5-51520D7FB934}" name="영업담당" dataDxfId="8"/>
    <tableColumn id="6" xr3:uid="{4D11E7BC-D731-45FB-80BD-F4CD89865358}" name="수주일" dataDxfId="7"/>
    <tableColumn id="7" xr3:uid="{12C01BDA-0393-4489-8918-35823F10A617}" name="계약금액" dataDxfId="6"/>
    <tableColumn id="8" xr3:uid="{FEDD8966-C3D1-4E66-806A-7FDA6E711B16}" name="착수예정일" dataDxfId="5"/>
    <tableColumn id="9" xr3:uid="{B2078E0A-43EB-46DE-9550-3150F32F200E}" name="진행상태(영업)" dataDxfId="4"/>
    <tableColumn id="10" xr3:uid="{F93B5A28-990A-469D-87EF-11706511EBFE}" name="누적매출인식액(8월까지)" dataDxfId="3"/>
    <tableColumn id="11" xr3:uid="{283DEFD5-5541-4B14-8F7D-6ECB22038F5C}" name="미인식잔액" dataDxfId="2"/>
    <tableColumn id="12" xr3:uid="{1B668492-7CF7-4701-A96A-EFC20F8CCD56}" name="진행률" dataDxfId="1"/>
    <tableColumn id="13" xr3:uid="{76FA2382-A176-4E04-B572-8E7C0BBBBC99}" name="데이터출처"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5"/>
  <sheetViews>
    <sheetView workbookViewId="0">
      <pane ySplit="1" topLeftCell="A2" activePane="bottomLeft" state="frozen"/>
      <selection pane="bottomLeft"/>
    </sheetView>
  </sheetViews>
  <sheetFormatPr defaultRowHeight="15"/>
  <cols>
    <col min="1" max="1" width="16.7109375" customWidth="1"/>
    <col min="2" max="8" width="14.7109375" customWidth="1"/>
  </cols>
  <sheetData>
    <row r="1" spans="1:8">
      <c r="A1" s="40" t="s">
        <v>0</v>
      </c>
      <c r="B1" s="40"/>
      <c r="C1" s="40"/>
      <c r="D1" s="40"/>
      <c r="E1" s="40"/>
      <c r="F1" s="40"/>
      <c r="G1" s="40"/>
      <c r="H1" s="40"/>
    </row>
    <row r="2" spans="1:8">
      <c r="A2" s="41" t="s">
        <v>1</v>
      </c>
      <c r="B2" s="41"/>
      <c r="C2" s="41"/>
      <c r="D2" s="41"/>
      <c r="E2" s="41"/>
      <c r="F2" s="41"/>
      <c r="G2" s="41"/>
      <c r="H2" s="41"/>
    </row>
    <row r="4" spans="1:8" ht="15" customHeight="1">
      <c r="A4" s="42" t="s">
        <v>2</v>
      </c>
      <c r="B4" s="42"/>
      <c r="C4" s="42"/>
      <c r="D4" s="42"/>
      <c r="E4" s="42"/>
      <c r="F4" s="42"/>
      <c r="G4" s="42"/>
      <c r="H4" s="42"/>
    </row>
    <row r="5" spans="1:8" ht="54.75" customHeight="1">
      <c r="A5" s="3" t="s">
        <v>3</v>
      </c>
      <c r="B5" s="3"/>
      <c r="C5" s="3"/>
      <c r="D5" s="3"/>
      <c r="E5" s="3"/>
      <c r="F5" s="3"/>
      <c r="G5" s="3"/>
      <c r="H5" s="3"/>
    </row>
    <row r="6" spans="1:8">
      <c r="A6" s="1"/>
    </row>
    <row r="7" spans="1:8" ht="15" customHeight="1">
      <c r="A7" s="42" t="s">
        <v>4</v>
      </c>
      <c r="B7" s="42"/>
      <c r="C7" s="42"/>
      <c r="D7" s="42"/>
      <c r="E7" s="42"/>
      <c r="F7" s="42"/>
      <c r="G7" s="42"/>
      <c r="H7" s="42"/>
    </row>
    <row r="8" spans="1:8" ht="42" customHeight="1">
      <c r="A8" s="3" t="s">
        <v>5</v>
      </c>
      <c r="B8" s="3"/>
      <c r="C8" s="3"/>
      <c r="D8" s="3"/>
      <c r="E8" s="3"/>
      <c r="F8" s="3"/>
      <c r="G8" s="3"/>
      <c r="H8" s="3"/>
    </row>
    <row r="9" spans="1:8" ht="57.75" customHeight="1">
      <c r="A9" s="3" t="s">
        <v>6</v>
      </c>
      <c r="B9" s="3"/>
      <c r="C9" s="3"/>
      <c r="D9" s="3"/>
      <c r="E9" s="3"/>
      <c r="F9" s="3"/>
      <c r="G9" s="3"/>
      <c r="H9" s="3"/>
    </row>
    <row r="10" spans="1:8" ht="48" customHeight="1">
      <c r="A10" s="3" t="s">
        <v>7</v>
      </c>
      <c r="B10" s="3"/>
      <c r="C10" s="3"/>
      <c r="D10" s="3"/>
      <c r="E10" s="3"/>
      <c r="F10" s="3"/>
      <c r="G10" s="3"/>
      <c r="H10" s="3"/>
    </row>
    <row r="11" spans="1:8" ht="57.75" customHeight="1">
      <c r="A11" s="3" t="s">
        <v>8</v>
      </c>
      <c r="B11" s="3"/>
      <c r="C11" s="3"/>
      <c r="D11" s="3"/>
      <c r="E11" s="3"/>
      <c r="F11" s="3"/>
      <c r="G11" s="3"/>
      <c r="H11" s="3"/>
    </row>
    <row r="12" spans="1:8">
      <c r="A12" s="1"/>
    </row>
    <row r="13" spans="1:8" ht="15" customHeight="1">
      <c r="A13" s="42" t="s">
        <v>9</v>
      </c>
      <c r="B13" s="42"/>
      <c r="C13" s="42"/>
      <c r="D13" s="42"/>
      <c r="E13" s="42"/>
      <c r="F13" s="42"/>
      <c r="G13" s="42"/>
      <c r="H13" s="42"/>
    </row>
    <row r="14" spans="1:8" ht="48" customHeight="1">
      <c r="A14" s="4" t="s">
        <v>10</v>
      </c>
      <c r="B14" s="4"/>
      <c r="C14" s="4"/>
      <c r="D14" s="4"/>
      <c r="E14" s="4"/>
      <c r="F14" s="4"/>
      <c r="G14" s="4"/>
      <c r="H14" s="4"/>
    </row>
    <row r="15" spans="1:8">
      <c r="A15" s="1"/>
    </row>
    <row r="16" spans="1:8" ht="15" customHeight="1">
      <c r="A16" s="42" t="s">
        <v>11</v>
      </c>
      <c r="B16" s="42"/>
      <c r="C16" s="42"/>
      <c r="D16" s="42"/>
      <c r="E16" s="42"/>
      <c r="F16" s="42"/>
      <c r="G16" s="42"/>
      <c r="H16" s="42"/>
    </row>
    <row r="17" spans="1:8" ht="27.75" customHeight="1">
      <c r="A17" s="3" t="s">
        <v>12</v>
      </c>
      <c r="B17" s="3"/>
      <c r="C17" s="3"/>
      <c r="D17" s="3"/>
      <c r="E17" s="3"/>
      <c r="F17" s="3"/>
      <c r="G17" s="3"/>
      <c r="H17" s="3"/>
    </row>
    <row r="18" spans="1:8" ht="39.75" customHeight="1">
      <c r="A18" s="3" t="s">
        <v>13</v>
      </c>
      <c r="B18" s="3"/>
      <c r="C18" s="3"/>
      <c r="D18" s="3"/>
      <c r="E18" s="3"/>
      <c r="F18" s="3"/>
      <c r="G18" s="3"/>
      <c r="H18" s="3"/>
    </row>
    <row r="19" spans="1:8" ht="39.75" customHeight="1">
      <c r="A19" s="3" t="s">
        <v>14</v>
      </c>
      <c r="B19" s="3"/>
      <c r="C19" s="3"/>
      <c r="D19" s="3"/>
      <c r="E19" s="3"/>
      <c r="F19" s="3"/>
      <c r="G19" s="3"/>
      <c r="H19" s="3"/>
    </row>
    <row r="20" spans="1:8">
      <c r="A20" s="1"/>
    </row>
    <row r="21" spans="1:8" ht="15" customHeight="1">
      <c r="A21" s="42" t="s">
        <v>15</v>
      </c>
      <c r="B21" s="42"/>
      <c r="C21" s="42"/>
      <c r="D21" s="42"/>
      <c r="E21" s="42"/>
      <c r="F21" s="42"/>
      <c r="G21" s="42"/>
      <c r="H21" s="42"/>
    </row>
    <row r="22" spans="1:8" ht="27.75" customHeight="1">
      <c r="A22" s="5" t="s">
        <v>16</v>
      </c>
      <c r="B22" s="5"/>
      <c r="C22" s="5"/>
      <c r="D22" s="5"/>
      <c r="E22" s="5"/>
      <c r="F22" s="5"/>
      <c r="G22" s="5"/>
      <c r="H22" s="5"/>
    </row>
    <row r="23" spans="1:8" ht="39.75" customHeight="1">
      <c r="A23" s="5" t="s">
        <v>17</v>
      </c>
      <c r="B23" s="5"/>
      <c r="C23" s="5"/>
      <c r="D23" s="5"/>
      <c r="E23" s="5"/>
      <c r="F23" s="5"/>
      <c r="G23" s="5"/>
      <c r="H23" s="5"/>
    </row>
    <row r="24" spans="1:8" ht="27.75" customHeight="1">
      <c r="A24" s="5" t="s">
        <v>18</v>
      </c>
      <c r="B24" s="5"/>
      <c r="C24" s="5"/>
      <c r="D24" s="5"/>
      <c r="E24" s="5"/>
      <c r="F24" s="5"/>
      <c r="G24" s="5"/>
      <c r="H24" s="5"/>
    </row>
    <row r="25" spans="1:8" ht="27.75" customHeight="1">
      <c r="A25" s="5" t="s">
        <v>19</v>
      </c>
      <c r="B25" s="5"/>
      <c r="C25" s="5"/>
      <c r="D25" s="5"/>
      <c r="E25" s="5"/>
      <c r="F25" s="5"/>
      <c r="G25" s="5"/>
      <c r="H25" s="5"/>
    </row>
  </sheetData>
  <mergeCells count="20">
    <mergeCell ref="A22:H22"/>
    <mergeCell ref="A23:H23"/>
    <mergeCell ref="A24:H24"/>
    <mergeCell ref="A25:H25"/>
    <mergeCell ref="A21:H21"/>
    <mergeCell ref="A5:H5"/>
    <mergeCell ref="A8:H8"/>
    <mergeCell ref="A9:H9"/>
    <mergeCell ref="A10:H10"/>
    <mergeCell ref="A11:H11"/>
    <mergeCell ref="A14:H14"/>
    <mergeCell ref="A17:H17"/>
    <mergeCell ref="A18:H18"/>
    <mergeCell ref="A19:H19"/>
    <mergeCell ref="A1:H1"/>
    <mergeCell ref="A2:H2"/>
    <mergeCell ref="A4:H4"/>
    <mergeCell ref="A7:H7"/>
    <mergeCell ref="A13:H13"/>
    <mergeCell ref="A16:H1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4F6CA-D6F7-4264-94B4-F2EB0400F110}">
  <dimension ref="A1:D39"/>
  <sheetViews>
    <sheetView workbookViewId="0">
      <pane ySplit="2" topLeftCell="A3" activePane="bottomLeft" state="frozen"/>
      <selection pane="bottomLeft"/>
    </sheetView>
  </sheetViews>
  <sheetFormatPr defaultRowHeight="15"/>
  <cols>
    <col min="1" max="1" width="24.7109375" customWidth="1"/>
    <col min="2" max="3" width="22.7109375" customWidth="1"/>
    <col min="4" max="4" width="16.7109375" customWidth="1"/>
  </cols>
  <sheetData>
    <row r="1" spans="1:4">
      <c r="A1" s="43" t="s">
        <v>20</v>
      </c>
      <c r="B1" s="43"/>
      <c r="C1" s="43"/>
      <c r="D1" s="43"/>
    </row>
    <row r="2" spans="1:4">
      <c r="A2" s="44" t="s">
        <v>21</v>
      </c>
      <c r="B2" s="44"/>
      <c r="C2" s="44"/>
      <c r="D2" s="44"/>
    </row>
    <row r="4" spans="1:4">
      <c r="A4" s="6" t="s">
        <v>22</v>
      </c>
      <c r="B4" s="6" t="s">
        <v>23</v>
      </c>
      <c r="C4" s="6" t="s">
        <v>24</v>
      </c>
      <c r="D4" s="6" t="s">
        <v>25</v>
      </c>
    </row>
    <row r="5" spans="1:4">
      <c r="A5" s="8" t="s">
        <v>26</v>
      </c>
      <c r="B5" s="8" t="s">
        <v>27</v>
      </c>
      <c r="C5" s="8" t="s">
        <v>28</v>
      </c>
      <c r="D5" s="8" t="s">
        <v>29</v>
      </c>
    </row>
    <row r="6" spans="1:4">
      <c r="A6" s="9" t="s">
        <v>30</v>
      </c>
      <c r="B6" s="10">
        <v>7823</v>
      </c>
      <c r="C6" s="10">
        <v>4701</v>
      </c>
      <c r="D6" s="10">
        <f>B6-C6</f>
        <v>3122</v>
      </c>
    </row>
    <row r="7" spans="1:4">
      <c r="A7" s="8" t="s">
        <v>31</v>
      </c>
      <c r="B7" s="11">
        <v>7300</v>
      </c>
      <c r="C7" s="11">
        <v>5800</v>
      </c>
      <c r="D7" s="11">
        <f>B7-C7</f>
        <v>1500</v>
      </c>
    </row>
    <row r="8" spans="1:4">
      <c r="A8" s="8" t="s">
        <v>32</v>
      </c>
      <c r="B8" s="12">
        <f>B6/B7</f>
        <v>1.0716438356164384</v>
      </c>
      <c r="C8" s="12">
        <f>C6/C7</f>
        <v>0.81051724137931036</v>
      </c>
      <c r="D8" s="12">
        <f>B8-C8</f>
        <v>0.26112659423712803</v>
      </c>
    </row>
    <row r="9" spans="1:4">
      <c r="A9" s="9" t="s">
        <v>33</v>
      </c>
      <c r="B9" s="13">
        <v>-1.8936543767243501E-2</v>
      </c>
      <c r="C9" s="13">
        <v>-0.45337209302325598</v>
      </c>
      <c r="D9" s="13">
        <f>B9-C9</f>
        <v>0.43443554925601247</v>
      </c>
    </row>
    <row r="10" spans="1:4">
      <c r="A10" s="8" t="s">
        <v>34</v>
      </c>
      <c r="B10" s="12">
        <v>0.180651977060066</v>
      </c>
      <c r="C10" s="12">
        <v>0.205384615384615</v>
      </c>
      <c r="D10" s="12">
        <f>B10-C10</f>
        <v>-2.4732638324549E-2</v>
      </c>
    </row>
    <row r="11" spans="1:4">
      <c r="A11" s="8"/>
      <c r="B11" s="8"/>
      <c r="C11" s="8"/>
      <c r="D11" s="8"/>
    </row>
    <row r="12" spans="1:4">
      <c r="A12" s="8" t="s">
        <v>35</v>
      </c>
      <c r="B12" s="11">
        <v>57251</v>
      </c>
      <c r="C12" s="11">
        <v>61000</v>
      </c>
      <c r="D12" s="11">
        <f>B12-C12</f>
        <v>-3749</v>
      </c>
    </row>
    <row r="13" spans="1:4">
      <c r="A13" s="9" t="s">
        <v>36</v>
      </c>
      <c r="B13" s="10">
        <v>58400</v>
      </c>
      <c r="C13" s="10">
        <v>59300</v>
      </c>
      <c r="D13" s="10">
        <f>B13-C13</f>
        <v>-900</v>
      </c>
    </row>
    <row r="14" spans="1:4">
      <c r="A14" s="8" t="s">
        <v>37</v>
      </c>
      <c r="B14" s="12">
        <f>B12/B13</f>
        <v>0.98032534246575342</v>
      </c>
      <c r="C14" s="12">
        <f>C12/C13</f>
        <v>1.0286677908937605</v>
      </c>
      <c r="D14" s="12">
        <f>B14-C14</f>
        <v>-4.8342448428007057E-2</v>
      </c>
    </row>
    <row r="15" spans="1:4">
      <c r="A15" s="8" t="s">
        <v>38</v>
      </c>
      <c r="B15" s="11">
        <v>87700</v>
      </c>
      <c r="C15" s="11">
        <v>90200</v>
      </c>
      <c r="D15" s="11">
        <f>B15-C15</f>
        <v>-2500</v>
      </c>
    </row>
    <row r="16" spans="1:4">
      <c r="A16" s="14" t="s">
        <v>39</v>
      </c>
      <c r="B16" s="15">
        <f>B12/B15</f>
        <v>0.65280501710376282</v>
      </c>
      <c r="C16" s="15">
        <f>C12/C15</f>
        <v>0.67627494456762749</v>
      </c>
      <c r="D16" s="15">
        <f>B16-C16</f>
        <v>-2.346992746386467E-2</v>
      </c>
    </row>
    <row r="17" spans="1:4">
      <c r="A17" s="8"/>
      <c r="B17" s="8"/>
      <c r="C17" s="8"/>
      <c r="D17" s="8"/>
    </row>
    <row r="18" spans="1:4">
      <c r="A18" s="45" t="s">
        <v>40</v>
      </c>
      <c r="B18" s="45"/>
      <c r="C18" s="45"/>
      <c r="D18" s="45"/>
    </row>
    <row r="19" spans="1:4">
      <c r="A19" s="7" t="s">
        <v>41</v>
      </c>
      <c r="B19" s="7" t="s">
        <v>42</v>
      </c>
      <c r="C19" s="7" t="s">
        <v>43</v>
      </c>
      <c r="D19" s="7" t="s">
        <v>44</v>
      </c>
    </row>
    <row r="20" spans="1:4">
      <c r="A20" s="8" t="s">
        <v>45</v>
      </c>
      <c r="B20" s="11">
        <v>2348</v>
      </c>
      <c r="C20" s="11">
        <v>1454</v>
      </c>
      <c r="D20" s="11">
        <f>B20-C20</f>
        <v>894</v>
      </c>
    </row>
    <row r="21" spans="1:4">
      <c r="A21" s="9" t="s">
        <v>46</v>
      </c>
      <c r="B21" s="10">
        <v>2008</v>
      </c>
      <c r="C21" s="10">
        <v>1192</v>
      </c>
      <c r="D21" s="10">
        <f>B21-C21</f>
        <v>816</v>
      </c>
    </row>
    <row r="22" spans="1:4">
      <c r="A22" s="8" t="s">
        <v>47</v>
      </c>
      <c r="B22" s="11">
        <v>1847</v>
      </c>
      <c r="C22" s="11">
        <v>1118</v>
      </c>
      <c r="D22" s="11">
        <f>B22-C22</f>
        <v>729</v>
      </c>
    </row>
    <row r="23" spans="1:4">
      <c r="A23" s="8" t="s">
        <v>48</v>
      </c>
      <c r="B23" s="11">
        <v>1620</v>
      </c>
      <c r="C23" s="11">
        <v>937</v>
      </c>
      <c r="D23" s="11">
        <f>B23-C23</f>
        <v>683</v>
      </c>
    </row>
    <row r="24" spans="1:4">
      <c r="A24" s="14" t="s">
        <v>49</v>
      </c>
      <c r="B24" s="16">
        <f>SUM(B20:B23)</f>
        <v>7823</v>
      </c>
      <c r="C24" s="16">
        <f>SUM(C20:C23)</f>
        <v>4701</v>
      </c>
      <c r="D24" s="16">
        <f>B24-C24</f>
        <v>3122</v>
      </c>
    </row>
    <row r="25" spans="1:4">
      <c r="A25" s="8"/>
      <c r="B25" s="8"/>
      <c r="C25" s="8"/>
      <c r="D25" s="8"/>
    </row>
    <row r="26" spans="1:4">
      <c r="A26" s="45" t="s">
        <v>50</v>
      </c>
      <c r="B26" s="45"/>
      <c r="C26" s="45"/>
      <c r="D26" s="45"/>
    </row>
    <row r="27" spans="1:4">
      <c r="A27" s="7" t="s">
        <v>51</v>
      </c>
      <c r="B27" s="7" t="s">
        <v>52</v>
      </c>
      <c r="C27" s="7" t="s">
        <v>53</v>
      </c>
      <c r="D27" s="8"/>
    </row>
    <row r="28" spans="1:4">
      <c r="A28" s="8" t="s">
        <v>54</v>
      </c>
      <c r="B28" s="11">
        <v>6780</v>
      </c>
      <c r="C28" s="11">
        <v>7900</v>
      </c>
      <c r="D28" s="8"/>
    </row>
    <row r="29" spans="1:4">
      <c r="A29" s="9" t="s">
        <v>55</v>
      </c>
      <c r="B29" s="10">
        <v>6687</v>
      </c>
      <c r="C29" s="10">
        <v>6800</v>
      </c>
      <c r="D29" s="8"/>
    </row>
    <row r="30" spans="1:4">
      <c r="A30" s="8" t="s">
        <v>56</v>
      </c>
      <c r="B30" s="11">
        <v>7147</v>
      </c>
      <c r="C30" s="11">
        <v>7100</v>
      </c>
      <c r="D30" s="8"/>
    </row>
    <row r="31" spans="1:4">
      <c r="A31" s="9" t="s">
        <v>57</v>
      </c>
      <c r="B31" s="10">
        <v>6957</v>
      </c>
      <c r="C31" s="10">
        <v>9400</v>
      </c>
      <c r="D31" s="8"/>
    </row>
    <row r="32" spans="1:4">
      <c r="A32" s="8" t="s">
        <v>58</v>
      </c>
      <c r="B32" s="11">
        <v>7089</v>
      </c>
      <c r="C32" s="11">
        <v>5900</v>
      </c>
      <c r="D32" s="8"/>
    </row>
    <row r="33" spans="1:4">
      <c r="A33" s="9" t="s">
        <v>59</v>
      </c>
      <c r="B33" s="10">
        <v>7325</v>
      </c>
      <c r="C33" s="10">
        <v>6700</v>
      </c>
      <c r="D33" s="8"/>
    </row>
    <row r="34" spans="1:4">
      <c r="A34" s="8" t="s">
        <v>60</v>
      </c>
      <c r="B34" s="11">
        <v>6928</v>
      </c>
      <c r="C34" s="11">
        <v>9100</v>
      </c>
      <c r="D34" s="8"/>
    </row>
    <row r="35" spans="1:4">
      <c r="A35" s="9" t="s">
        <v>61</v>
      </c>
      <c r="B35" s="10">
        <v>6479</v>
      </c>
      <c r="C35" s="10">
        <v>7400</v>
      </c>
      <c r="D35" s="8"/>
    </row>
    <row r="36" spans="1:4">
      <c r="A36" s="8" t="s">
        <v>62</v>
      </c>
      <c r="B36" s="11">
        <v>6723</v>
      </c>
      <c r="C36" s="11">
        <v>7899</v>
      </c>
      <c r="D36" s="8"/>
    </row>
    <row r="37" spans="1:4">
      <c r="A37" s="9" t="s">
        <v>63</v>
      </c>
      <c r="B37" s="10">
        <v>6910</v>
      </c>
      <c r="C37" s="10">
        <v>10700</v>
      </c>
      <c r="D37" s="8"/>
    </row>
    <row r="38" spans="1:4">
      <c r="A38" s="8" t="s">
        <v>64</v>
      </c>
      <c r="B38" s="11">
        <v>7974</v>
      </c>
      <c r="C38" s="11">
        <v>8600</v>
      </c>
      <c r="D38" s="8"/>
    </row>
    <row r="39" spans="1:4">
      <c r="A39" s="17" t="s">
        <v>65</v>
      </c>
      <c r="B39" s="18">
        <v>7823</v>
      </c>
      <c r="C39" s="18">
        <v>4701</v>
      </c>
      <c r="D39" s="8"/>
    </row>
  </sheetData>
  <mergeCells count="4">
    <mergeCell ref="A1:D1"/>
    <mergeCell ref="A2:D2"/>
    <mergeCell ref="A18:D18"/>
    <mergeCell ref="A26:D2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E1D80-56A3-4A02-A1E1-AB2DE3CD5329}">
  <dimension ref="A1:M127"/>
  <sheetViews>
    <sheetView workbookViewId="0">
      <pane ySplit="4" topLeftCell="A5" activePane="bottomLeft" state="frozen"/>
      <selection pane="bottomLeft"/>
    </sheetView>
  </sheetViews>
  <sheetFormatPr defaultRowHeight="15"/>
  <cols>
    <col min="1" max="1" width="11.7109375" customWidth="1"/>
    <col min="2" max="2" width="30.7109375" customWidth="1"/>
    <col min="3" max="3" width="14.7109375" customWidth="1"/>
    <col min="4" max="5" width="10.7109375" customWidth="1"/>
    <col min="6" max="8" width="12.7109375" customWidth="1"/>
    <col min="9" max="9" width="11.7109375" customWidth="1"/>
    <col min="10" max="10" width="16.7109375" customWidth="1"/>
    <col min="11" max="11" width="12.7109375" customWidth="1"/>
    <col min="12" max="12" width="10.7109375" customWidth="1"/>
    <col min="13" max="13" width="22.7109375" customWidth="1"/>
  </cols>
  <sheetData>
    <row r="1" spans="1:13">
      <c r="A1" s="46" t="s">
        <v>66</v>
      </c>
      <c r="B1" s="46"/>
      <c r="C1" s="46"/>
      <c r="D1" s="46"/>
      <c r="E1" s="46"/>
      <c r="F1" s="46"/>
      <c r="G1" s="46"/>
      <c r="H1" s="46"/>
      <c r="I1" s="46"/>
      <c r="J1" s="46"/>
      <c r="K1" s="46"/>
      <c r="L1" s="46"/>
      <c r="M1" s="46"/>
    </row>
    <row r="2" spans="1:13">
      <c r="A2" s="19" t="s">
        <v>67</v>
      </c>
      <c r="B2" s="19"/>
      <c r="C2" s="19"/>
      <c r="D2" s="19"/>
      <c r="E2" s="19"/>
      <c r="F2" s="19"/>
      <c r="G2" s="19"/>
      <c r="H2" s="19"/>
      <c r="I2" s="19"/>
      <c r="J2" s="19"/>
      <c r="K2" s="19"/>
      <c r="L2" s="19"/>
      <c r="M2" s="19"/>
    </row>
    <row r="4" spans="1:13">
      <c r="A4" s="2" t="s">
        <v>68</v>
      </c>
      <c r="B4" s="2" t="s">
        <v>69</v>
      </c>
      <c r="C4" s="2" t="s">
        <v>70</v>
      </c>
      <c r="D4" s="2" t="s">
        <v>41</v>
      </c>
      <c r="E4" s="2" t="s">
        <v>71</v>
      </c>
      <c r="F4" s="2" t="s">
        <v>72</v>
      </c>
      <c r="G4" s="2" t="s">
        <v>73</v>
      </c>
      <c r="H4" s="2" t="s">
        <v>74</v>
      </c>
      <c r="I4" s="2" t="s">
        <v>75</v>
      </c>
      <c r="J4" s="2" t="s">
        <v>76</v>
      </c>
      <c r="K4" s="2" t="s">
        <v>77</v>
      </c>
      <c r="L4" s="2" t="s">
        <v>78</v>
      </c>
      <c r="M4" s="2" t="s">
        <v>79</v>
      </c>
    </row>
    <row r="5" spans="1:13">
      <c r="A5" s="20" t="s">
        <v>80</v>
      </c>
      <c r="B5" s="20" t="s">
        <v>81</v>
      </c>
      <c r="C5" s="20" t="s">
        <v>82</v>
      </c>
      <c r="D5" s="20" t="s">
        <v>47</v>
      </c>
      <c r="E5" s="20" t="s">
        <v>83</v>
      </c>
      <c r="F5" s="21">
        <v>46178</v>
      </c>
      <c r="G5" s="22">
        <v>1538</v>
      </c>
      <c r="H5" s="21">
        <v>46204</v>
      </c>
      <c r="I5" s="20" t="s">
        <v>84</v>
      </c>
      <c r="J5" s="22">
        <v>768</v>
      </c>
      <c r="K5" s="22">
        <v>770</v>
      </c>
      <c r="L5" s="23">
        <v>0.49934980494148251</v>
      </c>
      <c r="M5" s="20" t="s">
        <v>85</v>
      </c>
    </row>
    <row r="6" spans="1:13">
      <c r="A6" s="20" t="s">
        <v>86</v>
      </c>
      <c r="B6" s="20" t="s">
        <v>87</v>
      </c>
      <c r="C6" s="20" t="s">
        <v>88</v>
      </c>
      <c r="D6" s="20" t="s">
        <v>45</v>
      </c>
      <c r="E6" s="20" t="s">
        <v>89</v>
      </c>
      <c r="F6" s="21">
        <v>46215</v>
      </c>
      <c r="G6" s="22">
        <v>1462</v>
      </c>
      <c r="H6" s="21">
        <v>46235</v>
      </c>
      <c r="I6" s="20" t="s">
        <v>84</v>
      </c>
      <c r="J6" s="22">
        <v>183</v>
      </c>
      <c r="K6" s="22">
        <v>1279</v>
      </c>
      <c r="L6" s="23">
        <v>0.12517099863201089</v>
      </c>
      <c r="M6" s="20" t="s">
        <v>85</v>
      </c>
    </row>
    <row r="7" spans="1:13">
      <c r="A7" s="20" t="s">
        <v>90</v>
      </c>
      <c r="B7" s="20" t="s">
        <v>91</v>
      </c>
      <c r="C7" s="20" t="s">
        <v>92</v>
      </c>
      <c r="D7" s="20" t="s">
        <v>45</v>
      </c>
      <c r="E7" s="20" t="s">
        <v>93</v>
      </c>
      <c r="F7" s="21">
        <v>46101</v>
      </c>
      <c r="G7" s="22">
        <v>1424</v>
      </c>
      <c r="H7" s="21">
        <v>46143</v>
      </c>
      <c r="I7" s="20" t="s">
        <v>84</v>
      </c>
      <c r="J7" s="22">
        <v>812</v>
      </c>
      <c r="K7" s="22">
        <v>612</v>
      </c>
      <c r="L7" s="23">
        <v>0.5702247191011236</v>
      </c>
      <c r="M7" s="20" t="s">
        <v>85</v>
      </c>
    </row>
    <row r="8" spans="1:13">
      <c r="A8" s="20" t="s">
        <v>94</v>
      </c>
      <c r="B8" s="20" t="s">
        <v>95</v>
      </c>
      <c r="C8" s="20" t="s">
        <v>88</v>
      </c>
      <c r="D8" s="20" t="s">
        <v>45</v>
      </c>
      <c r="E8" s="20" t="s">
        <v>89</v>
      </c>
      <c r="F8" s="21">
        <v>46151</v>
      </c>
      <c r="G8" s="22">
        <v>1232</v>
      </c>
      <c r="H8" s="21">
        <v>46174</v>
      </c>
      <c r="I8" s="20" t="s">
        <v>84</v>
      </c>
      <c r="J8" s="22">
        <v>462</v>
      </c>
      <c r="K8" s="22">
        <v>770</v>
      </c>
      <c r="L8" s="23">
        <v>0.375</v>
      </c>
      <c r="M8" s="20" t="s">
        <v>85</v>
      </c>
    </row>
    <row r="9" spans="1:13">
      <c r="A9" s="20" t="s">
        <v>96</v>
      </c>
      <c r="B9" s="20" t="s">
        <v>97</v>
      </c>
      <c r="C9" s="20" t="s">
        <v>98</v>
      </c>
      <c r="D9" s="20" t="s">
        <v>46</v>
      </c>
      <c r="E9" s="20" t="s">
        <v>99</v>
      </c>
      <c r="F9" s="21">
        <v>46157</v>
      </c>
      <c r="G9" s="22">
        <v>1170</v>
      </c>
      <c r="H9" s="21">
        <v>46204</v>
      </c>
      <c r="I9" s="20" t="s">
        <v>84</v>
      </c>
      <c r="J9" s="22">
        <v>196</v>
      </c>
      <c r="K9" s="22">
        <v>974</v>
      </c>
      <c r="L9" s="23">
        <v>0.16752136752136751</v>
      </c>
      <c r="M9" s="20" t="s">
        <v>85</v>
      </c>
    </row>
    <row r="10" spans="1:13">
      <c r="A10" s="20" t="s">
        <v>100</v>
      </c>
      <c r="B10" s="20" t="s">
        <v>101</v>
      </c>
      <c r="C10" s="20" t="s">
        <v>102</v>
      </c>
      <c r="D10" s="20" t="s">
        <v>48</v>
      </c>
      <c r="E10" s="20" t="s">
        <v>103</v>
      </c>
      <c r="F10" s="21">
        <v>46096</v>
      </c>
      <c r="G10" s="22">
        <v>1164</v>
      </c>
      <c r="H10" s="21">
        <v>46143</v>
      </c>
      <c r="I10" s="20" t="s">
        <v>84</v>
      </c>
      <c r="J10" s="22">
        <v>664</v>
      </c>
      <c r="K10" s="22">
        <v>500</v>
      </c>
      <c r="L10" s="23">
        <v>0.57044673539518898</v>
      </c>
      <c r="M10" s="20" t="s">
        <v>85</v>
      </c>
    </row>
    <row r="11" spans="1:13">
      <c r="A11" s="20" t="s">
        <v>104</v>
      </c>
      <c r="B11" s="20" t="s">
        <v>105</v>
      </c>
      <c r="C11" s="20" t="s">
        <v>106</v>
      </c>
      <c r="D11" s="20" t="s">
        <v>47</v>
      </c>
      <c r="E11" s="20" t="s">
        <v>83</v>
      </c>
      <c r="F11" s="21">
        <v>46212</v>
      </c>
      <c r="G11" s="22">
        <v>1125</v>
      </c>
      <c r="H11" s="21">
        <v>46266</v>
      </c>
      <c r="I11" s="20" t="s">
        <v>107</v>
      </c>
      <c r="J11" s="22">
        <v>0</v>
      </c>
      <c r="K11" s="22">
        <v>1125</v>
      </c>
      <c r="L11" s="23">
        <v>0</v>
      </c>
      <c r="M11" s="20" t="s">
        <v>85</v>
      </c>
    </row>
    <row r="12" spans="1:13">
      <c r="A12" s="20" t="s">
        <v>108</v>
      </c>
      <c r="B12" s="20" t="s">
        <v>109</v>
      </c>
      <c r="C12" s="20" t="s">
        <v>110</v>
      </c>
      <c r="D12" s="20" t="s">
        <v>46</v>
      </c>
      <c r="E12" s="20" t="s">
        <v>99</v>
      </c>
      <c r="F12" s="21">
        <v>46107</v>
      </c>
      <c r="G12" s="22">
        <v>1117</v>
      </c>
      <c r="H12" s="21">
        <v>46143</v>
      </c>
      <c r="I12" s="20" t="s">
        <v>84</v>
      </c>
      <c r="J12" s="22">
        <v>448</v>
      </c>
      <c r="K12" s="22">
        <v>669</v>
      </c>
      <c r="L12" s="23">
        <v>0.40107430617726048</v>
      </c>
      <c r="M12" s="20" t="s">
        <v>85</v>
      </c>
    </row>
    <row r="13" spans="1:13">
      <c r="A13" s="20" t="s">
        <v>111</v>
      </c>
      <c r="B13" s="20" t="s">
        <v>112</v>
      </c>
      <c r="C13" s="20" t="s">
        <v>110</v>
      </c>
      <c r="D13" s="20" t="s">
        <v>46</v>
      </c>
      <c r="E13" s="20" t="s">
        <v>113</v>
      </c>
      <c r="F13" s="21">
        <v>46198</v>
      </c>
      <c r="G13" s="22">
        <v>1093</v>
      </c>
      <c r="H13" s="21">
        <v>46204</v>
      </c>
      <c r="I13" s="20" t="s">
        <v>84</v>
      </c>
      <c r="J13" s="22">
        <v>364</v>
      </c>
      <c r="K13" s="22">
        <v>729</v>
      </c>
      <c r="L13" s="23">
        <v>0.33302836230558103</v>
      </c>
      <c r="M13" s="20" t="s">
        <v>85</v>
      </c>
    </row>
    <row r="14" spans="1:13">
      <c r="A14" s="20" t="s">
        <v>114</v>
      </c>
      <c r="B14" s="20" t="s">
        <v>115</v>
      </c>
      <c r="C14" s="20" t="s">
        <v>116</v>
      </c>
      <c r="D14" s="20" t="s">
        <v>47</v>
      </c>
      <c r="E14" s="20" t="s">
        <v>117</v>
      </c>
      <c r="F14" s="21">
        <v>46121</v>
      </c>
      <c r="G14" s="22">
        <v>1051</v>
      </c>
      <c r="H14" s="21">
        <v>46143</v>
      </c>
      <c r="I14" s="20" t="s">
        <v>84</v>
      </c>
      <c r="J14" s="22">
        <v>600</v>
      </c>
      <c r="K14" s="22">
        <v>451</v>
      </c>
      <c r="L14" s="23">
        <v>0.57088487155090395</v>
      </c>
      <c r="M14" s="20" t="s">
        <v>85</v>
      </c>
    </row>
    <row r="15" spans="1:13">
      <c r="A15" s="20" t="s">
        <v>118</v>
      </c>
      <c r="B15" s="20" t="s">
        <v>119</v>
      </c>
      <c r="C15" s="20" t="s">
        <v>120</v>
      </c>
      <c r="D15" s="20" t="s">
        <v>47</v>
      </c>
      <c r="E15" s="20" t="s">
        <v>83</v>
      </c>
      <c r="F15" s="21">
        <v>46058</v>
      </c>
      <c r="G15" s="22">
        <v>1016</v>
      </c>
      <c r="H15" s="21">
        <v>46143</v>
      </c>
      <c r="I15" s="20" t="s">
        <v>84</v>
      </c>
      <c r="J15" s="22">
        <v>408</v>
      </c>
      <c r="K15" s="22">
        <v>608</v>
      </c>
      <c r="L15" s="23">
        <v>0.40157480314960631</v>
      </c>
      <c r="M15" s="20" t="s">
        <v>85</v>
      </c>
    </row>
    <row r="16" spans="1:13">
      <c r="A16" s="20" t="s">
        <v>121</v>
      </c>
      <c r="B16" s="20" t="s">
        <v>122</v>
      </c>
      <c r="C16" s="20" t="s">
        <v>98</v>
      </c>
      <c r="D16" s="20" t="s">
        <v>46</v>
      </c>
      <c r="E16" s="20" t="s">
        <v>113</v>
      </c>
      <c r="F16" s="21">
        <v>46075</v>
      </c>
      <c r="G16" s="22">
        <v>1010</v>
      </c>
      <c r="H16" s="21">
        <v>46082</v>
      </c>
      <c r="I16" s="20" t="s">
        <v>84</v>
      </c>
      <c r="J16" s="22">
        <v>756</v>
      </c>
      <c r="K16" s="22">
        <v>254</v>
      </c>
      <c r="L16" s="23">
        <v>0.74851485148514851</v>
      </c>
      <c r="M16" s="20" t="s">
        <v>85</v>
      </c>
    </row>
    <row r="17" spans="1:13">
      <c r="A17" s="20" t="s">
        <v>123</v>
      </c>
      <c r="B17" s="20" t="s">
        <v>124</v>
      </c>
      <c r="C17" s="20" t="s">
        <v>106</v>
      </c>
      <c r="D17" s="20" t="s">
        <v>47</v>
      </c>
      <c r="E17" s="20" t="s">
        <v>117</v>
      </c>
      <c r="F17" s="21">
        <v>46157</v>
      </c>
      <c r="G17" s="22">
        <v>1002</v>
      </c>
      <c r="H17" s="21">
        <v>46204</v>
      </c>
      <c r="I17" s="20" t="s">
        <v>84</v>
      </c>
      <c r="J17" s="22">
        <v>334</v>
      </c>
      <c r="K17" s="22">
        <v>668</v>
      </c>
      <c r="L17" s="23">
        <v>0.33333333333333331</v>
      </c>
      <c r="M17" s="20" t="s">
        <v>85</v>
      </c>
    </row>
    <row r="18" spans="1:13">
      <c r="A18" s="20" t="s">
        <v>125</v>
      </c>
      <c r="B18" s="20" t="s">
        <v>126</v>
      </c>
      <c r="C18" s="20" t="s">
        <v>88</v>
      </c>
      <c r="D18" s="20" t="s">
        <v>45</v>
      </c>
      <c r="E18" s="20" t="s">
        <v>89</v>
      </c>
      <c r="F18" s="21">
        <v>46180</v>
      </c>
      <c r="G18" s="22">
        <v>978</v>
      </c>
      <c r="H18" s="21">
        <v>46204</v>
      </c>
      <c r="I18" s="20" t="s">
        <v>84</v>
      </c>
      <c r="J18" s="22">
        <v>244</v>
      </c>
      <c r="K18" s="22">
        <v>734</v>
      </c>
      <c r="L18" s="23">
        <v>0.2494887525562372</v>
      </c>
      <c r="M18" s="20" t="s">
        <v>85</v>
      </c>
    </row>
    <row r="19" spans="1:13">
      <c r="A19" s="20" t="s">
        <v>127</v>
      </c>
      <c r="B19" s="20" t="s">
        <v>128</v>
      </c>
      <c r="C19" s="20" t="s">
        <v>92</v>
      </c>
      <c r="D19" s="20" t="s">
        <v>45</v>
      </c>
      <c r="E19" s="20" t="s">
        <v>129</v>
      </c>
      <c r="F19" s="21">
        <v>46076</v>
      </c>
      <c r="G19" s="22">
        <v>943</v>
      </c>
      <c r="H19" s="21">
        <v>46082</v>
      </c>
      <c r="I19" s="20" t="s">
        <v>84</v>
      </c>
      <c r="J19" s="22">
        <v>708</v>
      </c>
      <c r="K19" s="22">
        <v>235</v>
      </c>
      <c r="L19" s="23">
        <v>0.75079533404029697</v>
      </c>
      <c r="M19" s="20" t="s">
        <v>85</v>
      </c>
    </row>
    <row r="20" spans="1:13">
      <c r="A20" s="20" t="s">
        <v>130</v>
      </c>
      <c r="B20" s="20" t="s">
        <v>131</v>
      </c>
      <c r="C20" s="20" t="s">
        <v>116</v>
      </c>
      <c r="D20" s="20" t="s">
        <v>47</v>
      </c>
      <c r="E20" s="20" t="s">
        <v>117</v>
      </c>
      <c r="F20" s="21">
        <v>46218</v>
      </c>
      <c r="G20" s="22">
        <v>921</v>
      </c>
      <c r="H20" s="21">
        <v>46266</v>
      </c>
      <c r="I20" s="20" t="s">
        <v>107</v>
      </c>
      <c r="J20" s="22">
        <v>0</v>
      </c>
      <c r="K20" s="22">
        <v>921</v>
      </c>
      <c r="L20" s="23">
        <v>0</v>
      </c>
      <c r="M20" s="20" t="s">
        <v>85</v>
      </c>
    </row>
    <row r="21" spans="1:13">
      <c r="A21" s="20" t="s">
        <v>132</v>
      </c>
      <c r="B21" s="20" t="s">
        <v>133</v>
      </c>
      <c r="C21" s="20" t="s">
        <v>98</v>
      </c>
      <c r="D21" s="20" t="s">
        <v>46</v>
      </c>
      <c r="E21" s="20" t="s">
        <v>99</v>
      </c>
      <c r="F21" s="21">
        <v>46219</v>
      </c>
      <c r="G21" s="22">
        <v>907</v>
      </c>
      <c r="H21" s="21">
        <v>46266</v>
      </c>
      <c r="I21" s="20" t="s">
        <v>107</v>
      </c>
      <c r="J21" s="22">
        <v>0</v>
      </c>
      <c r="K21" s="22">
        <v>907</v>
      </c>
      <c r="L21" s="23">
        <v>0</v>
      </c>
      <c r="M21" s="20" t="s">
        <v>85</v>
      </c>
    </row>
    <row r="22" spans="1:13">
      <c r="A22" s="20" t="s">
        <v>134</v>
      </c>
      <c r="B22" s="20" t="s">
        <v>135</v>
      </c>
      <c r="C22" s="20" t="s">
        <v>136</v>
      </c>
      <c r="D22" s="20" t="s">
        <v>48</v>
      </c>
      <c r="E22" s="20" t="s">
        <v>137</v>
      </c>
      <c r="F22" s="21">
        <v>46160</v>
      </c>
      <c r="G22" s="22">
        <v>905</v>
      </c>
      <c r="H22" s="21">
        <v>46235</v>
      </c>
      <c r="I22" s="20" t="s">
        <v>84</v>
      </c>
      <c r="J22" s="22">
        <v>151</v>
      </c>
      <c r="K22" s="22">
        <v>754</v>
      </c>
      <c r="L22" s="23">
        <v>0.16685082872928181</v>
      </c>
      <c r="M22" s="20" t="s">
        <v>85</v>
      </c>
    </row>
    <row r="23" spans="1:13">
      <c r="A23" s="20" t="s">
        <v>138</v>
      </c>
      <c r="B23" s="20" t="s">
        <v>139</v>
      </c>
      <c r="C23" s="20" t="s">
        <v>140</v>
      </c>
      <c r="D23" s="20" t="s">
        <v>48</v>
      </c>
      <c r="E23" s="20" t="s">
        <v>137</v>
      </c>
      <c r="F23" s="21">
        <v>46212</v>
      </c>
      <c r="G23" s="22">
        <v>895</v>
      </c>
      <c r="H23" s="21">
        <v>46266</v>
      </c>
      <c r="I23" s="20" t="s">
        <v>107</v>
      </c>
      <c r="J23" s="22">
        <v>0</v>
      </c>
      <c r="K23" s="22">
        <v>895</v>
      </c>
      <c r="L23" s="23">
        <v>0</v>
      </c>
      <c r="M23" s="20" t="s">
        <v>85</v>
      </c>
    </row>
    <row r="24" spans="1:13">
      <c r="A24" s="20" t="s">
        <v>141</v>
      </c>
      <c r="B24" s="20" t="s">
        <v>142</v>
      </c>
      <c r="C24" s="20" t="s">
        <v>143</v>
      </c>
      <c r="D24" s="20" t="s">
        <v>47</v>
      </c>
      <c r="E24" s="20" t="s">
        <v>144</v>
      </c>
      <c r="F24" s="21">
        <v>46037</v>
      </c>
      <c r="G24" s="22">
        <v>889</v>
      </c>
      <c r="H24" s="21">
        <v>46054</v>
      </c>
      <c r="I24" s="20" t="s">
        <v>84</v>
      </c>
      <c r="J24" s="22">
        <v>392</v>
      </c>
      <c r="K24" s="22">
        <v>497</v>
      </c>
      <c r="L24" s="23">
        <v>0.44094488188976377</v>
      </c>
      <c r="M24" s="20" t="s">
        <v>85</v>
      </c>
    </row>
    <row r="25" spans="1:13">
      <c r="A25" s="20" t="s">
        <v>145</v>
      </c>
      <c r="B25" s="20" t="s">
        <v>146</v>
      </c>
      <c r="C25" s="20" t="s">
        <v>92</v>
      </c>
      <c r="D25" s="20" t="s">
        <v>45</v>
      </c>
      <c r="E25" s="20" t="s">
        <v>89</v>
      </c>
      <c r="F25" s="21">
        <v>46155</v>
      </c>
      <c r="G25" s="22">
        <v>826</v>
      </c>
      <c r="H25" s="21">
        <v>46174</v>
      </c>
      <c r="I25" s="20" t="s">
        <v>84</v>
      </c>
      <c r="J25" s="22">
        <v>207</v>
      </c>
      <c r="K25" s="22">
        <v>619</v>
      </c>
      <c r="L25" s="23">
        <v>0.25060532687651332</v>
      </c>
      <c r="M25" s="20" t="s">
        <v>85</v>
      </c>
    </row>
    <row r="26" spans="1:13">
      <c r="A26" s="20" t="s">
        <v>147</v>
      </c>
      <c r="B26" s="20" t="s">
        <v>148</v>
      </c>
      <c r="C26" s="20" t="s">
        <v>88</v>
      </c>
      <c r="D26" s="20" t="s">
        <v>45</v>
      </c>
      <c r="E26" s="20" t="s">
        <v>93</v>
      </c>
      <c r="F26" s="21">
        <v>46048</v>
      </c>
      <c r="G26" s="22">
        <v>809</v>
      </c>
      <c r="H26" s="21">
        <v>46082</v>
      </c>
      <c r="I26" s="20" t="s">
        <v>84</v>
      </c>
      <c r="J26" s="22">
        <v>540</v>
      </c>
      <c r="K26" s="22">
        <v>269</v>
      </c>
      <c r="L26" s="23">
        <v>0.66749072929542641</v>
      </c>
      <c r="M26" s="20" t="s">
        <v>85</v>
      </c>
    </row>
    <row r="27" spans="1:13">
      <c r="A27" s="20" t="s">
        <v>149</v>
      </c>
      <c r="B27" s="20" t="s">
        <v>150</v>
      </c>
      <c r="C27" s="20" t="s">
        <v>151</v>
      </c>
      <c r="D27" s="20" t="s">
        <v>46</v>
      </c>
      <c r="E27" s="20" t="s">
        <v>99</v>
      </c>
      <c r="F27" s="21">
        <v>46120</v>
      </c>
      <c r="G27" s="22">
        <v>769</v>
      </c>
      <c r="H27" s="21">
        <v>46174</v>
      </c>
      <c r="I27" s="20" t="s">
        <v>84</v>
      </c>
      <c r="J27" s="22">
        <v>288</v>
      </c>
      <c r="K27" s="22">
        <v>481</v>
      </c>
      <c r="L27" s="23">
        <v>0.37451235370611191</v>
      </c>
      <c r="M27" s="20" t="s">
        <v>85</v>
      </c>
    </row>
    <row r="28" spans="1:13">
      <c r="A28" s="20" t="s">
        <v>152</v>
      </c>
      <c r="B28" s="20" t="s">
        <v>153</v>
      </c>
      <c r="C28" s="20" t="s">
        <v>136</v>
      </c>
      <c r="D28" s="20" t="s">
        <v>48</v>
      </c>
      <c r="E28" s="20" t="s">
        <v>137</v>
      </c>
      <c r="F28" s="21">
        <v>46165</v>
      </c>
      <c r="G28" s="22">
        <v>742</v>
      </c>
      <c r="H28" s="21">
        <v>46204</v>
      </c>
      <c r="I28" s="20" t="s">
        <v>84</v>
      </c>
      <c r="J28" s="22">
        <v>164</v>
      </c>
      <c r="K28" s="22">
        <v>578</v>
      </c>
      <c r="L28" s="23">
        <v>0.22102425876010781</v>
      </c>
      <c r="M28" s="20" t="s">
        <v>85</v>
      </c>
    </row>
    <row r="29" spans="1:13">
      <c r="A29" s="20" t="s">
        <v>154</v>
      </c>
      <c r="B29" s="20" t="s">
        <v>155</v>
      </c>
      <c r="C29" s="20" t="s">
        <v>156</v>
      </c>
      <c r="D29" s="20" t="s">
        <v>45</v>
      </c>
      <c r="E29" s="20" t="s">
        <v>89</v>
      </c>
      <c r="F29" s="21">
        <v>46223</v>
      </c>
      <c r="G29" s="22">
        <v>709</v>
      </c>
      <c r="H29" s="21">
        <v>46296</v>
      </c>
      <c r="I29" s="20" t="s">
        <v>107</v>
      </c>
      <c r="J29" s="22">
        <v>0</v>
      </c>
      <c r="K29" s="22">
        <v>709</v>
      </c>
      <c r="L29" s="23">
        <v>0</v>
      </c>
      <c r="M29" s="20" t="s">
        <v>85</v>
      </c>
    </row>
    <row r="30" spans="1:13">
      <c r="A30" s="20" t="s">
        <v>157</v>
      </c>
      <c r="B30" s="20" t="s">
        <v>87</v>
      </c>
      <c r="C30" s="20" t="s">
        <v>88</v>
      </c>
      <c r="D30" s="20" t="s">
        <v>45</v>
      </c>
      <c r="E30" s="20" t="s">
        <v>89</v>
      </c>
      <c r="F30" s="21">
        <v>46103</v>
      </c>
      <c r="G30" s="22">
        <v>703</v>
      </c>
      <c r="H30" s="21">
        <v>46143</v>
      </c>
      <c r="I30" s="20" t="s">
        <v>84</v>
      </c>
      <c r="J30" s="22">
        <v>280</v>
      </c>
      <c r="K30" s="22">
        <v>423</v>
      </c>
      <c r="L30" s="23">
        <v>0.39829302987197718</v>
      </c>
      <c r="M30" s="20" t="s">
        <v>85</v>
      </c>
    </row>
    <row r="31" spans="1:13">
      <c r="A31" s="20" t="s">
        <v>158</v>
      </c>
      <c r="B31" s="20" t="s">
        <v>159</v>
      </c>
      <c r="C31" s="20" t="s">
        <v>160</v>
      </c>
      <c r="D31" s="20" t="s">
        <v>46</v>
      </c>
      <c r="E31" s="20" t="s">
        <v>99</v>
      </c>
      <c r="F31" s="21">
        <v>46095</v>
      </c>
      <c r="G31" s="22">
        <v>699</v>
      </c>
      <c r="H31" s="21">
        <v>46113</v>
      </c>
      <c r="I31" s="20" t="s">
        <v>84</v>
      </c>
      <c r="J31" s="22">
        <v>250</v>
      </c>
      <c r="K31" s="22">
        <v>449</v>
      </c>
      <c r="L31" s="23">
        <v>0.35765379113018603</v>
      </c>
      <c r="M31" s="20" t="s">
        <v>85</v>
      </c>
    </row>
    <row r="32" spans="1:13">
      <c r="A32" s="20" t="s">
        <v>161</v>
      </c>
      <c r="B32" s="20" t="s">
        <v>162</v>
      </c>
      <c r="C32" s="20" t="s">
        <v>151</v>
      </c>
      <c r="D32" s="20" t="s">
        <v>46</v>
      </c>
      <c r="E32" s="20" t="s">
        <v>113</v>
      </c>
      <c r="F32" s="21">
        <v>46043</v>
      </c>
      <c r="G32" s="22">
        <v>694</v>
      </c>
      <c r="H32" s="21">
        <v>46054</v>
      </c>
      <c r="I32" s="20" t="s">
        <v>84</v>
      </c>
      <c r="J32" s="22">
        <v>406</v>
      </c>
      <c r="K32" s="22">
        <v>288</v>
      </c>
      <c r="L32" s="23">
        <v>0.58501440922190207</v>
      </c>
      <c r="M32" s="20" t="s">
        <v>85</v>
      </c>
    </row>
    <row r="33" spans="1:13">
      <c r="A33" s="20" t="s">
        <v>163</v>
      </c>
      <c r="B33" s="20" t="s">
        <v>150</v>
      </c>
      <c r="C33" s="20" t="s">
        <v>151</v>
      </c>
      <c r="D33" s="20" t="s">
        <v>46</v>
      </c>
      <c r="E33" s="20" t="s">
        <v>113</v>
      </c>
      <c r="F33" s="21">
        <v>46209</v>
      </c>
      <c r="G33" s="22">
        <v>658</v>
      </c>
      <c r="H33" s="21">
        <v>46266</v>
      </c>
      <c r="I33" s="20" t="s">
        <v>107</v>
      </c>
      <c r="J33" s="22">
        <v>0</v>
      </c>
      <c r="K33" s="22">
        <v>658</v>
      </c>
      <c r="L33" s="23">
        <v>0</v>
      </c>
      <c r="M33" s="20" t="s">
        <v>85</v>
      </c>
    </row>
    <row r="34" spans="1:13">
      <c r="A34" s="20" t="s">
        <v>164</v>
      </c>
      <c r="B34" s="20" t="s">
        <v>165</v>
      </c>
      <c r="C34" s="20" t="s">
        <v>156</v>
      </c>
      <c r="D34" s="20" t="s">
        <v>45</v>
      </c>
      <c r="E34" s="20" t="s">
        <v>89</v>
      </c>
      <c r="F34" s="21">
        <v>46090</v>
      </c>
      <c r="G34" s="22">
        <v>638</v>
      </c>
      <c r="H34" s="21">
        <v>46113</v>
      </c>
      <c r="I34" s="20" t="s">
        <v>84</v>
      </c>
      <c r="J34" s="22">
        <v>230</v>
      </c>
      <c r="K34" s="22">
        <v>408</v>
      </c>
      <c r="L34" s="23">
        <v>0.36050156739811912</v>
      </c>
      <c r="M34" s="20" t="s">
        <v>85</v>
      </c>
    </row>
    <row r="35" spans="1:13">
      <c r="A35" s="20" t="s">
        <v>166</v>
      </c>
      <c r="B35" s="20" t="s">
        <v>167</v>
      </c>
      <c r="C35" s="20" t="s">
        <v>140</v>
      </c>
      <c r="D35" s="20" t="s">
        <v>48</v>
      </c>
      <c r="E35" s="20" t="s">
        <v>137</v>
      </c>
      <c r="F35" s="21">
        <v>46057</v>
      </c>
      <c r="G35" s="22">
        <v>632</v>
      </c>
      <c r="H35" s="21">
        <v>46082</v>
      </c>
      <c r="I35" s="20" t="s">
        <v>84</v>
      </c>
      <c r="J35" s="22">
        <v>378</v>
      </c>
      <c r="K35" s="22">
        <v>254</v>
      </c>
      <c r="L35" s="23">
        <v>0.59810126582278478</v>
      </c>
      <c r="M35" s="20" t="s">
        <v>85</v>
      </c>
    </row>
    <row r="36" spans="1:13">
      <c r="A36" s="20" t="s">
        <v>168</v>
      </c>
      <c r="B36" s="20" t="s">
        <v>169</v>
      </c>
      <c r="C36" s="20" t="s">
        <v>143</v>
      </c>
      <c r="D36" s="20" t="s">
        <v>47</v>
      </c>
      <c r="E36" s="20" t="s">
        <v>117</v>
      </c>
      <c r="F36" s="21">
        <v>46185</v>
      </c>
      <c r="G36" s="22">
        <v>624</v>
      </c>
      <c r="H36" s="21">
        <v>46235</v>
      </c>
      <c r="I36" s="20" t="s">
        <v>84</v>
      </c>
      <c r="J36" s="22">
        <v>69</v>
      </c>
      <c r="K36" s="22">
        <v>555</v>
      </c>
      <c r="L36" s="23">
        <v>0.1105769230769231</v>
      </c>
      <c r="M36" s="20" t="s">
        <v>85</v>
      </c>
    </row>
    <row r="37" spans="1:13">
      <c r="A37" s="20" t="s">
        <v>170</v>
      </c>
      <c r="B37" s="20" t="s">
        <v>131</v>
      </c>
      <c r="C37" s="20" t="s">
        <v>116</v>
      </c>
      <c r="D37" s="20" t="s">
        <v>47</v>
      </c>
      <c r="E37" s="20" t="s">
        <v>144</v>
      </c>
      <c r="F37" s="21">
        <v>46126</v>
      </c>
      <c r="G37" s="22">
        <v>600</v>
      </c>
      <c r="H37" s="21">
        <v>46143</v>
      </c>
      <c r="I37" s="20" t="s">
        <v>84</v>
      </c>
      <c r="J37" s="22">
        <v>300</v>
      </c>
      <c r="K37" s="22">
        <v>300</v>
      </c>
      <c r="L37" s="23">
        <v>0.5</v>
      </c>
      <c r="M37" s="20" t="s">
        <v>85</v>
      </c>
    </row>
    <row r="38" spans="1:13">
      <c r="A38" s="20" t="s">
        <v>171</v>
      </c>
      <c r="B38" s="20" t="s">
        <v>172</v>
      </c>
      <c r="C38" s="20" t="s">
        <v>92</v>
      </c>
      <c r="D38" s="20" t="s">
        <v>45</v>
      </c>
      <c r="E38" s="20" t="s">
        <v>89</v>
      </c>
      <c r="F38" s="21">
        <v>46129</v>
      </c>
      <c r="G38" s="22">
        <v>583</v>
      </c>
      <c r="H38" s="21">
        <v>46174</v>
      </c>
      <c r="I38" s="20" t="s">
        <v>84</v>
      </c>
      <c r="J38" s="22">
        <v>126</v>
      </c>
      <c r="K38" s="22">
        <v>457</v>
      </c>
      <c r="L38" s="23">
        <v>0.21612349914236709</v>
      </c>
      <c r="M38" s="20" t="s">
        <v>85</v>
      </c>
    </row>
    <row r="39" spans="1:13">
      <c r="A39" s="20" t="s">
        <v>173</v>
      </c>
      <c r="B39" s="20" t="s">
        <v>174</v>
      </c>
      <c r="C39" s="20" t="s">
        <v>106</v>
      </c>
      <c r="D39" s="20" t="s">
        <v>47</v>
      </c>
      <c r="E39" s="20" t="s">
        <v>117</v>
      </c>
      <c r="F39" s="21">
        <v>46042</v>
      </c>
      <c r="G39" s="22">
        <v>570</v>
      </c>
      <c r="H39" s="21">
        <v>46082</v>
      </c>
      <c r="I39" s="20" t="s">
        <v>84</v>
      </c>
      <c r="J39" s="22">
        <v>192</v>
      </c>
      <c r="K39" s="22">
        <v>378</v>
      </c>
      <c r="L39" s="23">
        <v>0.33684210526315789</v>
      </c>
      <c r="M39" s="20" t="s">
        <v>85</v>
      </c>
    </row>
    <row r="40" spans="1:13">
      <c r="A40" s="20" t="s">
        <v>175</v>
      </c>
      <c r="B40" s="20" t="s">
        <v>176</v>
      </c>
      <c r="C40" s="20" t="s">
        <v>88</v>
      </c>
      <c r="D40" s="20" t="s">
        <v>45</v>
      </c>
      <c r="E40" s="20" t="s">
        <v>129</v>
      </c>
      <c r="F40" s="21">
        <v>46180</v>
      </c>
      <c r="G40" s="22">
        <v>568</v>
      </c>
      <c r="H40" s="21">
        <v>46235</v>
      </c>
      <c r="I40" s="20" t="s">
        <v>84</v>
      </c>
      <c r="J40" s="22">
        <v>38</v>
      </c>
      <c r="K40" s="22">
        <v>530</v>
      </c>
      <c r="L40" s="23">
        <v>6.6901408450704219E-2</v>
      </c>
      <c r="M40" s="20" t="s">
        <v>85</v>
      </c>
    </row>
    <row r="41" spans="1:13">
      <c r="A41" s="20" t="s">
        <v>177</v>
      </c>
      <c r="B41" s="20" t="s">
        <v>150</v>
      </c>
      <c r="C41" s="20" t="s">
        <v>151</v>
      </c>
      <c r="D41" s="20" t="s">
        <v>46</v>
      </c>
      <c r="E41" s="20" t="s">
        <v>113</v>
      </c>
      <c r="F41" s="21">
        <v>46223</v>
      </c>
      <c r="G41" s="22">
        <v>557</v>
      </c>
      <c r="H41" s="21">
        <v>46235</v>
      </c>
      <c r="I41" s="20" t="s">
        <v>84</v>
      </c>
      <c r="J41" s="22">
        <v>62</v>
      </c>
      <c r="K41" s="22">
        <v>495</v>
      </c>
      <c r="L41" s="23">
        <v>0.11131059245960501</v>
      </c>
      <c r="M41" s="20" t="s">
        <v>85</v>
      </c>
    </row>
    <row r="42" spans="1:13">
      <c r="A42" s="20" t="s">
        <v>178</v>
      </c>
      <c r="B42" s="20" t="s">
        <v>179</v>
      </c>
      <c r="C42" s="20" t="s">
        <v>156</v>
      </c>
      <c r="D42" s="20" t="s">
        <v>45</v>
      </c>
      <c r="E42" s="20" t="s">
        <v>89</v>
      </c>
      <c r="F42" s="21">
        <v>46118</v>
      </c>
      <c r="G42" s="22">
        <v>549</v>
      </c>
      <c r="H42" s="21">
        <v>46174</v>
      </c>
      <c r="I42" s="20" t="s">
        <v>84</v>
      </c>
      <c r="J42" s="22">
        <v>276</v>
      </c>
      <c r="K42" s="22">
        <v>273</v>
      </c>
      <c r="L42" s="23">
        <v>0.50273224043715847</v>
      </c>
      <c r="M42" s="20" t="s">
        <v>85</v>
      </c>
    </row>
    <row r="43" spans="1:13">
      <c r="A43" s="20" t="s">
        <v>180</v>
      </c>
      <c r="B43" s="20" t="s">
        <v>181</v>
      </c>
      <c r="C43" s="20" t="s">
        <v>136</v>
      </c>
      <c r="D43" s="20" t="s">
        <v>48</v>
      </c>
      <c r="E43" s="20" t="s">
        <v>137</v>
      </c>
      <c r="F43" s="21">
        <v>46192</v>
      </c>
      <c r="G43" s="22">
        <v>549</v>
      </c>
      <c r="H43" s="21">
        <v>46235</v>
      </c>
      <c r="I43" s="20" t="s">
        <v>84</v>
      </c>
      <c r="J43" s="22">
        <v>78</v>
      </c>
      <c r="K43" s="22">
        <v>471</v>
      </c>
      <c r="L43" s="23">
        <v>0.1420765027322404</v>
      </c>
      <c r="M43" s="20" t="s">
        <v>85</v>
      </c>
    </row>
    <row r="44" spans="1:13">
      <c r="A44" s="20" t="s">
        <v>182</v>
      </c>
      <c r="B44" s="20" t="s">
        <v>183</v>
      </c>
      <c r="C44" s="20" t="s">
        <v>184</v>
      </c>
      <c r="D44" s="20" t="s">
        <v>48</v>
      </c>
      <c r="E44" s="20" t="s">
        <v>103</v>
      </c>
      <c r="F44" s="21">
        <v>46098</v>
      </c>
      <c r="G44" s="22">
        <v>540</v>
      </c>
      <c r="H44" s="21">
        <v>46174</v>
      </c>
      <c r="I44" s="20" t="s">
        <v>84</v>
      </c>
      <c r="J44" s="22">
        <v>270</v>
      </c>
      <c r="K44" s="22">
        <v>270</v>
      </c>
      <c r="L44" s="23">
        <v>0.5</v>
      </c>
      <c r="M44" s="20" t="s">
        <v>85</v>
      </c>
    </row>
    <row r="45" spans="1:13">
      <c r="A45" s="20" t="s">
        <v>185</v>
      </c>
      <c r="B45" s="20" t="s">
        <v>186</v>
      </c>
      <c r="C45" s="20" t="s">
        <v>110</v>
      </c>
      <c r="D45" s="20" t="s">
        <v>46</v>
      </c>
      <c r="E45" s="20" t="s">
        <v>113</v>
      </c>
      <c r="F45" s="21">
        <v>46180</v>
      </c>
      <c r="G45" s="22">
        <v>535</v>
      </c>
      <c r="H45" s="21">
        <v>46204</v>
      </c>
      <c r="I45" s="20" t="s">
        <v>84</v>
      </c>
      <c r="J45" s="22">
        <v>134</v>
      </c>
      <c r="K45" s="22">
        <v>401</v>
      </c>
      <c r="L45" s="23">
        <v>0.25046728971962617</v>
      </c>
      <c r="M45" s="20" t="s">
        <v>85</v>
      </c>
    </row>
    <row r="46" spans="1:13">
      <c r="A46" s="20" t="s">
        <v>187</v>
      </c>
      <c r="B46" s="20" t="s">
        <v>188</v>
      </c>
      <c r="C46" s="20" t="s">
        <v>102</v>
      </c>
      <c r="D46" s="20" t="s">
        <v>48</v>
      </c>
      <c r="E46" s="20" t="s">
        <v>103</v>
      </c>
      <c r="F46" s="21">
        <v>46137</v>
      </c>
      <c r="G46" s="22">
        <v>532</v>
      </c>
      <c r="H46" s="21">
        <v>46143</v>
      </c>
      <c r="I46" s="20" t="s">
        <v>84</v>
      </c>
      <c r="J46" s="22">
        <v>120</v>
      </c>
      <c r="K46" s="22">
        <v>412</v>
      </c>
      <c r="L46" s="23">
        <v>0.22556390977443611</v>
      </c>
      <c r="M46" s="20" t="s">
        <v>85</v>
      </c>
    </row>
    <row r="47" spans="1:13">
      <c r="A47" s="20" t="s">
        <v>189</v>
      </c>
      <c r="B47" s="20" t="s">
        <v>190</v>
      </c>
      <c r="C47" s="20" t="s">
        <v>102</v>
      </c>
      <c r="D47" s="20" t="s">
        <v>48</v>
      </c>
      <c r="E47" s="20" t="s">
        <v>137</v>
      </c>
      <c r="F47" s="21">
        <v>46258</v>
      </c>
      <c r="G47" s="22">
        <v>515</v>
      </c>
      <c r="H47" s="21">
        <v>46266</v>
      </c>
      <c r="I47" s="20" t="s">
        <v>107</v>
      </c>
      <c r="J47" s="22">
        <v>0</v>
      </c>
      <c r="K47" s="22">
        <v>515</v>
      </c>
      <c r="L47" s="23">
        <v>0</v>
      </c>
      <c r="M47" s="20" t="s">
        <v>85</v>
      </c>
    </row>
    <row r="48" spans="1:13">
      <c r="A48" s="20" t="s">
        <v>191</v>
      </c>
      <c r="B48" s="20" t="s">
        <v>192</v>
      </c>
      <c r="C48" s="20" t="s">
        <v>120</v>
      </c>
      <c r="D48" s="20" t="s">
        <v>47</v>
      </c>
      <c r="E48" s="20" t="s">
        <v>144</v>
      </c>
      <c r="F48" s="21">
        <v>46087</v>
      </c>
      <c r="G48" s="22">
        <v>513</v>
      </c>
      <c r="H48" s="21">
        <v>46143</v>
      </c>
      <c r="I48" s="20" t="s">
        <v>84</v>
      </c>
      <c r="J48" s="22">
        <v>128</v>
      </c>
      <c r="K48" s="22">
        <v>385</v>
      </c>
      <c r="L48" s="23">
        <v>0.2495126705653021</v>
      </c>
      <c r="M48" s="20" t="s">
        <v>85</v>
      </c>
    </row>
    <row r="49" spans="1:13">
      <c r="A49" s="20" t="s">
        <v>193</v>
      </c>
      <c r="B49" s="20" t="s">
        <v>194</v>
      </c>
      <c r="C49" s="20" t="s">
        <v>160</v>
      </c>
      <c r="D49" s="20" t="s">
        <v>46</v>
      </c>
      <c r="E49" s="20" t="s">
        <v>99</v>
      </c>
      <c r="F49" s="21">
        <v>46077</v>
      </c>
      <c r="G49" s="22">
        <v>504</v>
      </c>
      <c r="H49" s="21">
        <v>46082</v>
      </c>
      <c r="I49" s="20" t="s">
        <v>84</v>
      </c>
      <c r="J49" s="22">
        <v>168</v>
      </c>
      <c r="K49" s="22">
        <v>336</v>
      </c>
      <c r="L49" s="23">
        <v>0.33333333333333331</v>
      </c>
      <c r="M49" s="20" t="s">
        <v>85</v>
      </c>
    </row>
    <row r="50" spans="1:13">
      <c r="A50" s="20" t="s">
        <v>195</v>
      </c>
      <c r="B50" s="20" t="s">
        <v>196</v>
      </c>
      <c r="C50" s="20" t="s">
        <v>197</v>
      </c>
      <c r="D50" s="20" t="s">
        <v>45</v>
      </c>
      <c r="E50" s="20" t="s">
        <v>93</v>
      </c>
      <c r="F50" s="21">
        <v>46238</v>
      </c>
      <c r="G50" s="22">
        <v>501</v>
      </c>
      <c r="H50" s="21">
        <v>46296</v>
      </c>
      <c r="I50" s="20" t="s">
        <v>107</v>
      </c>
      <c r="J50" s="22">
        <v>0</v>
      </c>
      <c r="K50" s="22">
        <v>501</v>
      </c>
      <c r="L50" s="23">
        <v>0</v>
      </c>
      <c r="M50" s="20" t="s">
        <v>85</v>
      </c>
    </row>
    <row r="51" spans="1:13">
      <c r="A51" s="20" t="s">
        <v>198</v>
      </c>
      <c r="B51" s="20" t="s">
        <v>199</v>
      </c>
      <c r="C51" s="20" t="s">
        <v>151</v>
      </c>
      <c r="D51" s="20" t="s">
        <v>46</v>
      </c>
      <c r="E51" s="20" t="s">
        <v>113</v>
      </c>
      <c r="F51" s="21">
        <v>46254</v>
      </c>
      <c r="G51" s="22">
        <v>497</v>
      </c>
      <c r="H51" s="21">
        <v>46296</v>
      </c>
      <c r="I51" s="20" t="s">
        <v>107</v>
      </c>
      <c r="J51" s="22">
        <v>0</v>
      </c>
      <c r="K51" s="22">
        <v>497</v>
      </c>
      <c r="L51" s="23">
        <v>0</v>
      </c>
      <c r="M51" s="20" t="s">
        <v>85</v>
      </c>
    </row>
    <row r="52" spans="1:13">
      <c r="A52" s="20" t="s">
        <v>200</v>
      </c>
      <c r="B52" s="20" t="s">
        <v>201</v>
      </c>
      <c r="C52" s="20" t="s">
        <v>140</v>
      </c>
      <c r="D52" s="20" t="s">
        <v>48</v>
      </c>
      <c r="E52" s="20" t="s">
        <v>137</v>
      </c>
      <c r="F52" s="21">
        <v>46223</v>
      </c>
      <c r="G52" s="22">
        <v>496</v>
      </c>
      <c r="H52" s="21">
        <v>46296</v>
      </c>
      <c r="I52" s="20" t="s">
        <v>107</v>
      </c>
      <c r="J52" s="22">
        <v>0</v>
      </c>
      <c r="K52" s="22">
        <v>496</v>
      </c>
      <c r="L52" s="23">
        <v>0</v>
      </c>
      <c r="M52" s="20" t="s">
        <v>85</v>
      </c>
    </row>
    <row r="53" spans="1:13">
      <c r="A53" s="20" t="s">
        <v>202</v>
      </c>
      <c r="B53" s="20" t="s">
        <v>203</v>
      </c>
      <c r="C53" s="20" t="s">
        <v>156</v>
      </c>
      <c r="D53" s="20" t="s">
        <v>45</v>
      </c>
      <c r="E53" s="20" t="s">
        <v>93</v>
      </c>
      <c r="F53" s="21">
        <v>46035</v>
      </c>
      <c r="G53" s="22">
        <v>495</v>
      </c>
      <c r="H53" s="21">
        <v>46082</v>
      </c>
      <c r="I53" s="20" t="s">
        <v>84</v>
      </c>
      <c r="J53" s="22">
        <v>210</v>
      </c>
      <c r="K53" s="22">
        <v>285</v>
      </c>
      <c r="L53" s="23">
        <v>0.42424242424242431</v>
      </c>
      <c r="M53" s="20" t="s">
        <v>85</v>
      </c>
    </row>
    <row r="54" spans="1:13">
      <c r="A54" s="20" t="s">
        <v>204</v>
      </c>
      <c r="B54" s="20" t="s">
        <v>165</v>
      </c>
      <c r="C54" s="20" t="s">
        <v>156</v>
      </c>
      <c r="D54" s="20" t="s">
        <v>45</v>
      </c>
      <c r="E54" s="20" t="s">
        <v>93</v>
      </c>
      <c r="F54" s="21">
        <v>46257</v>
      </c>
      <c r="G54" s="22">
        <v>494</v>
      </c>
      <c r="H54" s="21">
        <v>46296</v>
      </c>
      <c r="I54" s="20" t="s">
        <v>107</v>
      </c>
      <c r="J54" s="22">
        <v>0</v>
      </c>
      <c r="K54" s="22">
        <v>494</v>
      </c>
      <c r="L54" s="23">
        <v>0</v>
      </c>
      <c r="M54" s="20" t="s">
        <v>85</v>
      </c>
    </row>
    <row r="55" spans="1:13">
      <c r="A55" s="20" t="s">
        <v>205</v>
      </c>
      <c r="B55" s="20" t="s">
        <v>206</v>
      </c>
      <c r="C55" s="20" t="s">
        <v>207</v>
      </c>
      <c r="D55" s="20" t="s">
        <v>45</v>
      </c>
      <c r="E55" s="20" t="s">
        <v>93</v>
      </c>
      <c r="F55" s="21">
        <v>46229</v>
      </c>
      <c r="G55" s="22">
        <v>488</v>
      </c>
      <c r="H55" s="21">
        <v>46266</v>
      </c>
      <c r="I55" s="20" t="s">
        <v>107</v>
      </c>
      <c r="J55" s="22">
        <v>0</v>
      </c>
      <c r="K55" s="22">
        <v>488</v>
      </c>
      <c r="L55" s="23">
        <v>0</v>
      </c>
      <c r="M55" s="20" t="s">
        <v>85</v>
      </c>
    </row>
    <row r="56" spans="1:13">
      <c r="A56" s="20" t="s">
        <v>208</v>
      </c>
      <c r="B56" s="20" t="s">
        <v>176</v>
      </c>
      <c r="C56" s="20" t="s">
        <v>88</v>
      </c>
      <c r="D56" s="20" t="s">
        <v>45</v>
      </c>
      <c r="E56" s="20" t="s">
        <v>89</v>
      </c>
      <c r="F56" s="21">
        <v>46181</v>
      </c>
      <c r="G56" s="22">
        <v>486</v>
      </c>
      <c r="H56" s="21">
        <v>46266</v>
      </c>
      <c r="I56" s="20" t="s">
        <v>107</v>
      </c>
      <c r="J56" s="22">
        <v>0</v>
      </c>
      <c r="K56" s="22">
        <v>486</v>
      </c>
      <c r="L56" s="23">
        <v>0</v>
      </c>
      <c r="M56" s="20" t="s">
        <v>85</v>
      </c>
    </row>
    <row r="57" spans="1:13">
      <c r="A57" s="20" t="s">
        <v>209</v>
      </c>
      <c r="B57" s="20" t="s">
        <v>210</v>
      </c>
      <c r="C57" s="20" t="s">
        <v>207</v>
      </c>
      <c r="D57" s="20" t="s">
        <v>45</v>
      </c>
      <c r="E57" s="20" t="s">
        <v>89</v>
      </c>
      <c r="F57" s="21">
        <v>46071</v>
      </c>
      <c r="G57" s="22">
        <v>481</v>
      </c>
      <c r="H57" s="21">
        <v>46082</v>
      </c>
      <c r="I57" s="20" t="s">
        <v>84</v>
      </c>
      <c r="J57" s="22">
        <v>180</v>
      </c>
      <c r="K57" s="22">
        <v>301</v>
      </c>
      <c r="L57" s="23">
        <v>0.37422037422037419</v>
      </c>
      <c r="M57" s="20" t="s">
        <v>85</v>
      </c>
    </row>
    <row r="58" spans="1:13">
      <c r="A58" s="20" t="s">
        <v>211</v>
      </c>
      <c r="B58" s="20" t="s">
        <v>206</v>
      </c>
      <c r="C58" s="20" t="s">
        <v>207</v>
      </c>
      <c r="D58" s="20" t="s">
        <v>45</v>
      </c>
      <c r="E58" s="20" t="s">
        <v>89</v>
      </c>
      <c r="F58" s="21">
        <v>46136</v>
      </c>
      <c r="G58" s="22">
        <v>471</v>
      </c>
      <c r="H58" s="21">
        <v>46174</v>
      </c>
      <c r="I58" s="20" t="s">
        <v>84</v>
      </c>
      <c r="J58" s="22">
        <v>234</v>
      </c>
      <c r="K58" s="22">
        <v>237</v>
      </c>
      <c r="L58" s="23">
        <v>0.49681528662420382</v>
      </c>
      <c r="M58" s="20" t="s">
        <v>85</v>
      </c>
    </row>
    <row r="59" spans="1:13">
      <c r="A59" s="20" t="s">
        <v>212</v>
      </c>
      <c r="B59" s="20" t="s">
        <v>112</v>
      </c>
      <c r="C59" s="20" t="s">
        <v>110</v>
      </c>
      <c r="D59" s="20" t="s">
        <v>46</v>
      </c>
      <c r="E59" s="20" t="s">
        <v>113</v>
      </c>
      <c r="F59" s="21">
        <v>46127</v>
      </c>
      <c r="G59" s="22">
        <v>469</v>
      </c>
      <c r="H59" s="21">
        <v>46143</v>
      </c>
      <c r="I59" s="20" t="s">
        <v>84</v>
      </c>
      <c r="J59" s="22">
        <v>88</v>
      </c>
      <c r="K59" s="22">
        <v>381</v>
      </c>
      <c r="L59" s="23">
        <v>0.18763326226012789</v>
      </c>
      <c r="M59" s="20" t="s">
        <v>85</v>
      </c>
    </row>
    <row r="60" spans="1:13">
      <c r="A60" s="20" t="s">
        <v>213</v>
      </c>
      <c r="B60" s="20" t="s">
        <v>214</v>
      </c>
      <c r="C60" s="20" t="s">
        <v>207</v>
      </c>
      <c r="D60" s="20" t="s">
        <v>45</v>
      </c>
      <c r="E60" s="20" t="s">
        <v>93</v>
      </c>
      <c r="F60" s="21">
        <v>46260</v>
      </c>
      <c r="G60" s="22">
        <v>459</v>
      </c>
      <c r="H60" s="21">
        <v>46266</v>
      </c>
      <c r="I60" s="20" t="s">
        <v>107</v>
      </c>
      <c r="J60" s="22">
        <v>0</v>
      </c>
      <c r="K60" s="22">
        <v>459</v>
      </c>
      <c r="L60" s="23">
        <v>0</v>
      </c>
      <c r="M60" s="20" t="s">
        <v>85</v>
      </c>
    </row>
    <row r="61" spans="1:13">
      <c r="A61" s="20" t="s">
        <v>215</v>
      </c>
      <c r="B61" s="20" t="s">
        <v>216</v>
      </c>
      <c r="C61" s="20" t="s">
        <v>106</v>
      </c>
      <c r="D61" s="20" t="s">
        <v>47</v>
      </c>
      <c r="E61" s="20" t="s">
        <v>117</v>
      </c>
      <c r="F61" s="21">
        <v>46239</v>
      </c>
      <c r="G61" s="22">
        <v>459</v>
      </c>
      <c r="H61" s="21">
        <v>46266</v>
      </c>
      <c r="I61" s="20" t="s">
        <v>107</v>
      </c>
      <c r="J61" s="22">
        <v>0</v>
      </c>
      <c r="K61" s="22">
        <v>459</v>
      </c>
      <c r="L61" s="23">
        <v>0</v>
      </c>
      <c r="M61" s="20" t="s">
        <v>85</v>
      </c>
    </row>
    <row r="62" spans="1:13">
      <c r="A62" s="20" t="s">
        <v>217</v>
      </c>
      <c r="B62" s="20" t="s">
        <v>218</v>
      </c>
      <c r="C62" s="20" t="s">
        <v>143</v>
      </c>
      <c r="D62" s="20" t="s">
        <v>47</v>
      </c>
      <c r="E62" s="20" t="s">
        <v>83</v>
      </c>
      <c r="F62" s="21">
        <v>46105</v>
      </c>
      <c r="G62" s="22">
        <v>454</v>
      </c>
      <c r="H62" s="21">
        <v>46113</v>
      </c>
      <c r="I62" s="20" t="s">
        <v>84</v>
      </c>
      <c r="J62" s="22">
        <v>190</v>
      </c>
      <c r="K62" s="22">
        <v>264</v>
      </c>
      <c r="L62" s="23">
        <v>0.41850220264317178</v>
      </c>
      <c r="M62" s="20" t="s">
        <v>85</v>
      </c>
    </row>
    <row r="63" spans="1:13">
      <c r="A63" s="20" t="s">
        <v>219</v>
      </c>
      <c r="B63" s="20" t="s">
        <v>220</v>
      </c>
      <c r="C63" s="20" t="s">
        <v>197</v>
      </c>
      <c r="D63" s="20" t="s">
        <v>45</v>
      </c>
      <c r="E63" s="20" t="s">
        <v>93</v>
      </c>
      <c r="F63" s="21">
        <v>46070</v>
      </c>
      <c r="G63" s="22">
        <v>439</v>
      </c>
      <c r="H63" s="21">
        <v>46113</v>
      </c>
      <c r="I63" s="20" t="s">
        <v>84</v>
      </c>
      <c r="J63" s="22">
        <v>155</v>
      </c>
      <c r="K63" s="22">
        <v>284</v>
      </c>
      <c r="L63" s="23">
        <v>0.35307517084282458</v>
      </c>
      <c r="M63" s="20" t="s">
        <v>85</v>
      </c>
    </row>
    <row r="64" spans="1:13">
      <c r="A64" s="20" t="s">
        <v>221</v>
      </c>
      <c r="B64" s="20" t="s">
        <v>222</v>
      </c>
      <c r="C64" s="20" t="s">
        <v>151</v>
      </c>
      <c r="D64" s="20" t="s">
        <v>46</v>
      </c>
      <c r="E64" s="20" t="s">
        <v>113</v>
      </c>
      <c r="F64" s="21">
        <v>46191</v>
      </c>
      <c r="G64" s="22">
        <v>431</v>
      </c>
      <c r="H64" s="21">
        <v>46235</v>
      </c>
      <c r="I64" s="20" t="s">
        <v>84</v>
      </c>
      <c r="J64" s="22">
        <v>54</v>
      </c>
      <c r="K64" s="22">
        <v>377</v>
      </c>
      <c r="L64" s="23">
        <v>0.12529002320185609</v>
      </c>
      <c r="M64" s="20" t="s">
        <v>85</v>
      </c>
    </row>
    <row r="65" spans="1:13">
      <c r="A65" s="20" t="s">
        <v>223</v>
      </c>
      <c r="B65" s="20" t="s">
        <v>224</v>
      </c>
      <c r="C65" s="20" t="s">
        <v>92</v>
      </c>
      <c r="D65" s="20" t="s">
        <v>45</v>
      </c>
      <c r="E65" s="20" t="s">
        <v>89</v>
      </c>
      <c r="F65" s="21">
        <v>46033</v>
      </c>
      <c r="G65" s="22">
        <v>423</v>
      </c>
      <c r="H65" s="21">
        <v>46082</v>
      </c>
      <c r="I65" s="20" t="s">
        <v>84</v>
      </c>
      <c r="J65" s="22">
        <v>360</v>
      </c>
      <c r="K65" s="22">
        <v>63</v>
      </c>
      <c r="L65" s="23">
        <v>0.85106382978723405</v>
      </c>
      <c r="M65" s="20" t="s">
        <v>85</v>
      </c>
    </row>
    <row r="66" spans="1:13">
      <c r="A66" s="20" t="s">
        <v>225</v>
      </c>
      <c r="B66" s="20" t="s">
        <v>97</v>
      </c>
      <c r="C66" s="20" t="s">
        <v>98</v>
      </c>
      <c r="D66" s="20" t="s">
        <v>46</v>
      </c>
      <c r="E66" s="20" t="s">
        <v>99</v>
      </c>
      <c r="F66" s="21">
        <v>46159</v>
      </c>
      <c r="G66" s="22">
        <v>416</v>
      </c>
      <c r="H66" s="21">
        <v>46174</v>
      </c>
      <c r="I66" s="20" t="s">
        <v>84</v>
      </c>
      <c r="J66" s="22">
        <v>69</v>
      </c>
      <c r="K66" s="22">
        <v>347</v>
      </c>
      <c r="L66" s="23">
        <v>0.16586538461538461</v>
      </c>
      <c r="M66" s="20" t="s">
        <v>85</v>
      </c>
    </row>
    <row r="67" spans="1:13">
      <c r="A67" s="20" t="s">
        <v>226</v>
      </c>
      <c r="B67" s="20" t="s">
        <v>227</v>
      </c>
      <c r="C67" s="20" t="s">
        <v>143</v>
      </c>
      <c r="D67" s="20" t="s">
        <v>47</v>
      </c>
      <c r="E67" s="20" t="s">
        <v>117</v>
      </c>
      <c r="F67" s="21">
        <v>46145</v>
      </c>
      <c r="G67" s="22">
        <v>414</v>
      </c>
      <c r="H67" s="21">
        <v>46174</v>
      </c>
      <c r="I67" s="20" t="s">
        <v>84</v>
      </c>
      <c r="J67" s="22">
        <v>78</v>
      </c>
      <c r="K67" s="22">
        <v>336</v>
      </c>
      <c r="L67" s="23">
        <v>0.18840579710144931</v>
      </c>
      <c r="M67" s="20" t="s">
        <v>85</v>
      </c>
    </row>
    <row r="68" spans="1:13">
      <c r="A68" s="20" t="s">
        <v>228</v>
      </c>
      <c r="B68" s="20" t="s">
        <v>229</v>
      </c>
      <c r="C68" s="20" t="s">
        <v>102</v>
      </c>
      <c r="D68" s="20" t="s">
        <v>48</v>
      </c>
      <c r="E68" s="20" t="s">
        <v>137</v>
      </c>
      <c r="F68" s="21">
        <v>46190</v>
      </c>
      <c r="G68" s="22">
        <v>410</v>
      </c>
      <c r="H68" s="21">
        <v>46204</v>
      </c>
      <c r="I68" s="20" t="s">
        <v>84</v>
      </c>
      <c r="J68" s="22">
        <v>74</v>
      </c>
      <c r="K68" s="22">
        <v>336</v>
      </c>
      <c r="L68" s="23">
        <v>0.1804878048780488</v>
      </c>
      <c r="M68" s="20" t="s">
        <v>85</v>
      </c>
    </row>
    <row r="69" spans="1:13">
      <c r="A69" s="20" t="s">
        <v>230</v>
      </c>
      <c r="B69" s="20" t="s">
        <v>231</v>
      </c>
      <c r="C69" s="20" t="s">
        <v>156</v>
      </c>
      <c r="D69" s="20" t="s">
        <v>45</v>
      </c>
      <c r="E69" s="20" t="s">
        <v>89</v>
      </c>
      <c r="F69" s="21">
        <v>46117</v>
      </c>
      <c r="G69" s="22">
        <v>403</v>
      </c>
      <c r="H69" s="21">
        <v>46143</v>
      </c>
      <c r="I69" s="20" t="s">
        <v>84</v>
      </c>
      <c r="J69" s="22">
        <v>268</v>
      </c>
      <c r="K69" s="22">
        <v>135</v>
      </c>
      <c r="L69" s="23">
        <v>0.66501240694789077</v>
      </c>
      <c r="M69" s="20" t="s">
        <v>85</v>
      </c>
    </row>
    <row r="70" spans="1:13">
      <c r="A70" s="20" t="s">
        <v>232</v>
      </c>
      <c r="B70" s="20" t="s">
        <v>233</v>
      </c>
      <c r="C70" s="20" t="s">
        <v>120</v>
      </c>
      <c r="D70" s="20" t="s">
        <v>47</v>
      </c>
      <c r="E70" s="20" t="s">
        <v>117</v>
      </c>
      <c r="F70" s="21">
        <v>46256</v>
      </c>
      <c r="G70" s="22">
        <v>395</v>
      </c>
      <c r="H70" s="21">
        <v>46296</v>
      </c>
      <c r="I70" s="20" t="s">
        <v>107</v>
      </c>
      <c r="J70" s="22">
        <v>0</v>
      </c>
      <c r="K70" s="22">
        <v>395</v>
      </c>
      <c r="L70" s="23">
        <v>0</v>
      </c>
      <c r="M70" s="20" t="s">
        <v>85</v>
      </c>
    </row>
    <row r="71" spans="1:13">
      <c r="A71" s="20" t="s">
        <v>234</v>
      </c>
      <c r="B71" s="20" t="s">
        <v>235</v>
      </c>
      <c r="C71" s="20" t="s">
        <v>236</v>
      </c>
      <c r="D71" s="20" t="s">
        <v>48</v>
      </c>
      <c r="E71" s="20" t="s">
        <v>103</v>
      </c>
      <c r="F71" s="21">
        <v>46218</v>
      </c>
      <c r="G71" s="22">
        <v>382</v>
      </c>
      <c r="H71" s="21">
        <v>46296</v>
      </c>
      <c r="I71" s="20" t="s">
        <v>107</v>
      </c>
      <c r="J71" s="22">
        <v>0</v>
      </c>
      <c r="K71" s="22">
        <v>382</v>
      </c>
      <c r="L71" s="23">
        <v>0</v>
      </c>
      <c r="M71" s="20" t="s">
        <v>85</v>
      </c>
    </row>
    <row r="72" spans="1:13">
      <c r="A72" s="20" t="s">
        <v>237</v>
      </c>
      <c r="B72" s="20" t="s">
        <v>238</v>
      </c>
      <c r="C72" s="20" t="s">
        <v>136</v>
      </c>
      <c r="D72" s="20" t="s">
        <v>48</v>
      </c>
      <c r="E72" s="20" t="s">
        <v>137</v>
      </c>
      <c r="F72" s="21">
        <v>46038</v>
      </c>
      <c r="G72" s="22">
        <v>380</v>
      </c>
      <c r="H72" s="21">
        <v>46054</v>
      </c>
      <c r="I72" s="20" t="s">
        <v>239</v>
      </c>
      <c r="J72" s="22">
        <v>380</v>
      </c>
      <c r="K72" s="22">
        <v>0</v>
      </c>
      <c r="L72" s="23">
        <v>1</v>
      </c>
      <c r="M72" s="20" t="s">
        <v>240</v>
      </c>
    </row>
    <row r="73" spans="1:13">
      <c r="A73" s="20" t="s">
        <v>241</v>
      </c>
      <c r="B73" s="20" t="s">
        <v>242</v>
      </c>
      <c r="C73" s="20" t="s">
        <v>184</v>
      </c>
      <c r="D73" s="20" t="s">
        <v>48</v>
      </c>
      <c r="E73" s="20" t="s">
        <v>103</v>
      </c>
      <c r="F73" s="21">
        <v>46115</v>
      </c>
      <c r="G73" s="22">
        <v>378</v>
      </c>
      <c r="H73" s="21">
        <v>46174</v>
      </c>
      <c r="I73" s="20" t="s">
        <v>84</v>
      </c>
      <c r="J73" s="22">
        <v>162</v>
      </c>
      <c r="K73" s="22">
        <v>216</v>
      </c>
      <c r="L73" s="23">
        <v>0.42857142857142849</v>
      </c>
      <c r="M73" s="20" t="s">
        <v>85</v>
      </c>
    </row>
    <row r="74" spans="1:13">
      <c r="A74" s="20" t="s">
        <v>243</v>
      </c>
      <c r="B74" s="20" t="s">
        <v>244</v>
      </c>
      <c r="C74" s="20" t="s">
        <v>245</v>
      </c>
      <c r="D74" s="20" t="s">
        <v>46</v>
      </c>
      <c r="E74" s="20" t="s">
        <v>113</v>
      </c>
      <c r="F74" s="21">
        <v>46048</v>
      </c>
      <c r="G74" s="22">
        <v>370</v>
      </c>
      <c r="H74" s="21">
        <v>46113</v>
      </c>
      <c r="I74" s="20" t="s">
        <v>84</v>
      </c>
      <c r="J74" s="22">
        <v>265</v>
      </c>
      <c r="K74" s="22">
        <v>105</v>
      </c>
      <c r="L74" s="23">
        <v>0.71621621621621623</v>
      </c>
      <c r="M74" s="20" t="s">
        <v>85</v>
      </c>
    </row>
    <row r="75" spans="1:13">
      <c r="A75" s="20" t="s">
        <v>246</v>
      </c>
      <c r="B75" s="20" t="s">
        <v>81</v>
      </c>
      <c r="C75" s="20" t="s">
        <v>82</v>
      </c>
      <c r="D75" s="20" t="s">
        <v>47</v>
      </c>
      <c r="E75" s="20" t="s">
        <v>117</v>
      </c>
      <c r="F75" s="21">
        <v>46074</v>
      </c>
      <c r="G75" s="22">
        <v>370</v>
      </c>
      <c r="H75" s="21">
        <v>46113</v>
      </c>
      <c r="I75" s="20" t="s">
        <v>84</v>
      </c>
      <c r="J75" s="22">
        <v>230</v>
      </c>
      <c r="K75" s="22">
        <v>140</v>
      </c>
      <c r="L75" s="23">
        <v>0.6216216216216216</v>
      </c>
      <c r="M75" s="20" t="s">
        <v>85</v>
      </c>
    </row>
    <row r="76" spans="1:13">
      <c r="A76" s="20" t="s">
        <v>247</v>
      </c>
      <c r="B76" s="20" t="s">
        <v>248</v>
      </c>
      <c r="C76" s="20" t="s">
        <v>151</v>
      </c>
      <c r="D76" s="20" t="s">
        <v>46</v>
      </c>
      <c r="E76" s="20" t="s">
        <v>113</v>
      </c>
      <c r="F76" s="21">
        <v>46193</v>
      </c>
      <c r="G76" s="22">
        <v>368</v>
      </c>
      <c r="H76" s="21">
        <v>46266</v>
      </c>
      <c r="I76" s="20" t="s">
        <v>107</v>
      </c>
      <c r="J76" s="22">
        <v>0</v>
      </c>
      <c r="K76" s="22">
        <v>368</v>
      </c>
      <c r="L76" s="23">
        <v>0</v>
      </c>
      <c r="M76" s="20" t="s">
        <v>85</v>
      </c>
    </row>
    <row r="77" spans="1:13">
      <c r="A77" s="20" t="s">
        <v>249</v>
      </c>
      <c r="B77" s="20" t="s">
        <v>250</v>
      </c>
      <c r="C77" s="20" t="s">
        <v>245</v>
      </c>
      <c r="D77" s="20" t="s">
        <v>46</v>
      </c>
      <c r="E77" s="20" t="s">
        <v>113</v>
      </c>
      <c r="F77" s="21">
        <v>46145</v>
      </c>
      <c r="G77" s="22">
        <v>358</v>
      </c>
      <c r="H77" s="21">
        <v>46174</v>
      </c>
      <c r="I77" s="20" t="s">
        <v>84</v>
      </c>
      <c r="J77" s="22">
        <v>216</v>
      </c>
      <c r="K77" s="22">
        <v>142</v>
      </c>
      <c r="L77" s="23">
        <v>0.6033519553072626</v>
      </c>
      <c r="M77" s="20" t="s">
        <v>85</v>
      </c>
    </row>
    <row r="78" spans="1:13">
      <c r="A78" s="20" t="s">
        <v>251</v>
      </c>
      <c r="B78" s="20" t="s">
        <v>252</v>
      </c>
      <c r="C78" s="20" t="s">
        <v>236</v>
      </c>
      <c r="D78" s="20" t="s">
        <v>48</v>
      </c>
      <c r="E78" s="20" t="s">
        <v>137</v>
      </c>
      <c r="F78" s="21">
        <v>46027</v>
      </c>
      <c r="G78" s="22">
        <v>357</v>
      </c>
      <c r="H78" s="21">
        <v>46054</v>
      </c>
      <c r="I78" s="20" t="s">
        <v>84</v>
      </c>
      <c r="J78" s="22">
        <v>280</v>
      </c>
      <c r="K78" s="22">
        <v>77</v>
      </c>
      <c r="L78" s="23">
        <v>0.78431372549019607</v>
      </c>
      <c r="M78" s="20" t="s">
        <v>85</v>
      </c>
    </row>
    <row r="79" spans="1:13">
      <c r="A79" s="20" t="s">
        <v>253</v>
      </c>
      <c r="B79" s="20" t="s">
        <v>135</v>
      </c>
      <c r="C79" s="20" t="s">
        <v>136</v>
      </c>
      <c r="D79" s="20" t="s">
        <v>48</v>
      </c>
      <c r="E79" s="20" t="s">
        <v>137</v>
      </c>
      <c r="F79" s="21">
        <v>46119</v>
      </c>
      <c r="G79" s="22">
        <v>357</v>
      </c>
      <c r="H79" s="21">
        <v>46204</v>
      </c>
      <c r="I79" s="20" t="s">
        <v>84</v>
      </c>
      <c r="J79" s="22">
        <v>90</v>
      </c>
      <c r="K79" s="22">
        <v>267</v>
      </c>
      <c r="L79" s="23">
        <v>0.25210084033613439</v>
      </c>
      <c r="M79" s="20" t="s">
        <v>85</v>
      </c>
    </row>
    <row r="80" spans="1:13">
      <c r="A80" s="20" t="s">
        <v>254</v>
      </c>
      <c r="B80" s="20" t="s">
        <v>255</v>
      </c>
      <c r="C80" s="20" t="s">
        <v>98</v>
      </c>
      <c r="D80" s="20" t="s">
        <v>46</v>
      </c>
      <c r="E80" s="20" t="s">
        <v>113</v>
      </c>
      <c r="F80" s="21">
        <v>46255</v>
      </c>
      <c r="G80" s="22">
        <v>350</v>
      </c>
      <c r="H80" s="21">
        <v>46266</v>
      </c>
      <c r="I80" s="20" t="s">
        <v>107</v>
      </c>
      <c r="J80" s="22">
        <v>0</v>
      </c>
      <c r="K80" s="22">
        <v>350</v>
      </c>
      <c r="L80" s="23">
        <v>0</v>
      </c>
      <c r="M80" s="20" t="s">
        <v>85</v>
      </c>
    </row>
    <row r="81" spans="1:13">
      <c r="A81" s="20" t="s">
        <v>256</v>
      </c>
      <c r="B81" s="20" t="s">
        <v>257</v>
      </c>
      <c r="C81" s="20" t="s">
        <v>207</v>
      </c>
      <c r="D81" s="20" t="s">
        <v>45</v>
      </c>
      <c r="E81" s="20" t="s">
        <v>89</v>
      </c>
      <c r="F81" s="21">
        <v>46179</v>
      </c>
      <c r="G81" s="22">
        <v>345</v>
      </c>
      <c r="H81" s="21">
        <v>46204</v>
      </c>
      <c r="I81" s="20" t="s">
        <v>84</v>
      </c>
      <c r="J81" s="22">
        <v>58</v>
      </c>
      <c r="K81" s="22">
        <v>287</v>
      </c>
      <c r="L81" s="23">
        <v>0.1681159420289855</v>
      </c>
      <c r="M81" s="20" t="s">
        <v>85</v>
      </c>
    </row>
    <row r="82" spans="1:13">
      <c r="A82" s="20" t="s">
        <v>258</v>
      </c>
      <c r="B82" s="20" t="s">
        <v>259</v>
      </c>
      <c r="C82" s="20" t="s">
        <v>151</v>
      </c>
      <c r="D82" s="20" t="s">
        <v>46</v>
      </c>
      <c r="E82" s="20" t="s">
        <v>113</v>
      </c>
      <c r="F82" s="21">
        <v>46261</v>
      </c>
      <c r="G82" s="22">
        <v>345</v>
      </c>
      <c r="H82" s="21">
        <v>46266</v>
      </c>
      <c r="I82" s="20" t="s">
        <v>107</v>
      </c>
      <c r="J82" s="22">
        <v>0</v>
      </c>
      <c r="K82" s="22">
        <v>345</v>
      </c>
      <c r="L82" s="23">
        <v>0</v>
      </c>
      <c r="M82" s="20" t="s">
        <v>85</v>
      </c>
    </row>
    <row r="83" spans="1:13">
      <c r="A83" s="20" t="s">
        <v>260</v>
      </c>
      <c r="B83" s="20" t="s">
        <v>190</v>
      </c>
      <c r="C83" s="20" t="s">
        <v>102</v>
      </c>
      <c r="D83" s="20" t="s">
        <v>48</v>
      </c>
      <c r="E83" s="20" t="s">
        <v>103</v>
      </c>
      <c r="F83" s="21">
        <v>46197</v>
      </c>
      <c r="G83" s="22">
        <v>331</v>
      </c>
      <c r="H83" s="21">
        <v>46204</v>
      </c>
      <c r="I83" s="20" t="s">
        <v>84</v>
      </c>
      <c r="J83" s="22">
        <v>36</v>
      </c>
      <c r="K83" s="22">
        <v>295</v>
      </c>
      <c r="L83" s="23">
        <v>0.10876132930513591</v>
      </c>
      <c r="M83" s="20" t="s">
        <v>85</v>
      </c>
    </row>
    <row r="84" spans="1:13">
      <c r="A84" s="20" t="s">
        <v>261</v>
      </c>
      <c r="B84" s="20" t="s">
        <v>262</v>
      </c>
      <c r="C84" s="20" t="s">
        <v>160</v>
      </c>
      <c r="D84" s="20" t="s">
        <v>46</v>
      </c>
      <c r="E84" s="20" t="s">
        <v>113</v>
      </c>
      <c r="F84" s="21">
        <v>46080</v>
      </c>
      <c r="G84" s="22">
        <v>324</v>
      </c>
      <c r="H84" s="21">
        <v>46113</v>
      </c>
      <c r="I84" s="20" t="s">
        <v>84</v>
      </c>
      <c r="J84" s="22">
        <v>160</v>
      </c>
      <c r="K84" s="22">
        <v>164</v>
      </c>
      <c r="L84" s="23">
        <v>0.49382716049382708</v>
      </c>
      <c r="M84" s="20" t="s">
        <v>85</v>
      </c>
    </row>
    <row r="85" spans="1:13">
      <c r="A85" s="20" t="s">
        <v>263</v>
      </c>
      <c r="B85" s="20" t="s">
        <v>264</v>
      </c>
      <c r="C85" s="20" t="s">
        <v>110</v>
      </c>
      <c r="D85" s="20" t="s">
        <v>46</v>
      </c>
      <c r="E85" s="20" t="s">
        <v>99</v>
      </c>
      <c r="F85" s="21">
        <v>46183</v>
      </c>
      <c r="G85" s="22">
        <v>324</v>
      </c>
      <c r="H85" s="21">
        <v>46204</v>
      </c>
      <c r="I85" s="20" t="s">
        <v>84</v>
      </c>
      <c r="J85" s="22">
        <v>80</v>
      </c>
      <c r="K85" s="22">
        <v>244</v>
      </c>
      <c r="L85" s="23">
        <v>0.24691358024691359</v>
      </c>
      <c r="M85" s="20" t="s">
        <v>85</v>
      </c>
    </row>
    <row r="86" spans="1:13">
      <c r="A86" s="20" t="s">
        <v>265</v>
      </c>
      <c r="B86" s="20" t="s">
        <v>266</v>
      </c>
      <c r="C86" s="20" t="s">
        <v>106</v>
      </c>
      <c r="D86" s="20" t="s">
        <v>47</v>
      </c>
      <c r="E86" s="20" t="s">
        <v>144</v>
      </c>
      <c r="F86" s="21">
        <v>46069</v>
      </c>
      <c r="G86" s="22">
        <v>320</v>
      </c>
      <c r="H86" s="21">
        <v>46113</v>
      </c>
      <c r="I86" s="20" t="s">
        <v>84</v>
      </c>
      <c r="J86" s="22">
        <v>90</v>
      </c>
      <c r="K86" s="22">
        <v>230</v>
      </c>
      <c r="L86" s="23">
        <v>0.28125</v>
      </c>
      <c r="M86" s="20" t="s">
        <v>85</v>
      </c>
    </row>
    <row r="87" spans="1:13">
      <c r="A87" s="20" t="s">
        <v>267</v>
      </c>
      <c r="B87" s="20" t="s">
        <v>268</v>
      </c>
      <c r="C87" s="20" t="s">
        <v>120</v>
      </c>
      <c r="D87" s="20" t="s">
        <v>47</v>
      </c>
      <c r="E87" s="20" t="s">
        <v>144</v>
      </c>
      <c r="F87" s="21">
        <v>46099</v>
      </c>
      <c r="G87" s="22">
        <v>320</v>
      </c>
      <c r="H87" s="21">
        <v>46143</v>
      </c>
      <c r="I87" s="20" t="s">
        <v>84</v>
      </c>
      <c r="J87" s="22">
        <v>212</v>
      </c>
      <c r="K87" s="22">
        <v>108</v>
      </c>
      <c r="L87" s="23">
        <v>0.66249999999999998</v>
      </c>
      <c r="M87" s="20" t="s">
        <v>85</v>
      </c>
    </row>
    <row r="88" spans="1:13">
      <c r="A88" s="20" t="s">
        <v>269</v>
      </c>
      <c r="B88" s="20" t="s">
        <v>270</v>
      </c>
      <c r="C88" s="20" t="s">
        <v>236</v>
      </c>
      <c r="D88" s="20" t="s">
        <v>48</v>
      </c>
      <c r="E88" s="20" t="s">
        <v>137</v>
      </c>
      <c r="F88" s="21">
        <v>46035</v>
      </c>
      <c r="G88" s="22">
        <v>316</v>
      </c>
      <c r="H88" s="21">
        <v>46113</v>
      </c>
      <c r="I88" s="20" t="s">
        <v>84</v>
      </c>
      <c r="J88" s="22">
        <v>130</v>
      </c>
      <c r="K88" s="22">
        <v>186</v>
      </c>
      <c r="L88" s="23">
        <v>0.41139240506329122</v>
      </c>
      <c r="M88" s="20" t="s">
        <v>85</v>
      </c>
    </row>
    <row r="89" spans="1:13">
      <c r="A89" s="20" t="s">
        <v>271</v>
      </c>
      <c r="B89" s="20" t="s">
        <v>272</v>
      </c>
      <c r="C89" s="20" t="s">
        <v>143</v>
      </c>
      <c r="D89" s="20" t="s">
        <v>47</v>
      </c>
      <c r="E89" s="20" t="s">
        <v>117</v>
      </c>
      <c r="F89" s="21">
        <v>46159</v>
      </c>
      <c r="G89" s="22">
        <v>315</v>
      </c>
      <c r="H89" s="21">
        <v>46174</v>
      </c>
      <c r="I89" s="20" t="s">
        <v>84</v>
      </c>
      <c r="J89" s="22">
        <v>117</v>
      </c>
      <c r="K89" s="22">
        <v>198</v>
      </c>
      <c r="L89" s="23">
        <v>0.37142857142857139</v>
      </c>
      <c r="M89" s="20" t="s">
        <v>85</v>
      </c>
    </row>
    <row r="90" spans="1:13">
      <c r="A90" s="20" t="s">
        <v>273</v>
      </c>
      <c r="B90" s="20" t="s">
        <v>142</v>
      </c>
      <c r="C90" s="20" t="s">
        <v>143</v>
      </c>
      <c r="D90" s="20" t="s">
        <v>47</v>
      </c>
      <c r="E90" s="20" t="s">
        <v>144</v>
      </c>
      <c r="F90" s="21">
        <v>46187</v>
      </c>
      <c r="G90" s="22">
        <v>303</v>
      </c>
      <c r="H90" s="21">
        <v>46204</v>
      </c>
      <c r="I90" s="20" t="s">
        <v>84</v>
      </c>
      <c r="J90" s="22">
        <v>34</v>
      </c>
      <c r="K90" s="22">
        <v>269</v>
      </c>
      <c r="L90" s="23">
        <v>0.1122112211221122</v>
      </c>
      <c r="M90" s="20" t="s">
        <v>85</v>
      </c>
    </row>
    <row r="91" spans="1:13">
      <c r="A91" s="20" t="s">
        <v>274</v>
      </c>
      <c r="B91" s="20" t="s">
        <v>275</v>
      </c>
      <c r="C91" s="20" t="s">
        <v>184</v>
      </c>
      <c r="D91" s="20" t="s">
        <v>48</v>
      </c>
      <c r="E91" s="20" t="s">
        <v>103</v>
      </c>
      <c r="F91" s="21">
        <v>46074</v>
      </c>
      <c r="G91" s="22">
        <v>266</v>
      </c>
      <c r="H91" s="21">
        <v>46082</v>
      </c>
      <c r="I91" s="20" t="s">
        <v>84</v>
      </c>
      <c r="J91" s="22">
        <v>198</v>
      </c>
      <c r="K91" s="22">
        <v>68</v>
      </c>
      <c r="L91" s="23">
        <v>0.74436090225563911</v>
      </c>
      <c r="M91" s="20" t="s">
        <v>85</v>
      </c>
    </row>
    <row r="92" spans="1:13">
      <c r="A92" s="20" t="s">
        <v>276</v>
      </c>
      <c r="B92" s="20" t="s">
        <v>277</v>
      </c>
      <c r="C92" s="20" t="s">
        <v>82</v>
      </c>
      <c r="D92" s="20" t="s">
        <v>47</v>
      </c>
      <c r="E92" s="20" t="s">
        <v>83</v>
      </c>
      <c r="F92" s="21">
        <v>46261</v>
      </c>
      <c r="G92" s="22">
        <v>264</v>
      </c>
      <c r="H92" s="21">
        <v>46296</v>
      </c>
      <c r="I92" s="20" t="s">
        <v>107</v>
      </c>
      <c r="J92" s="22">
        <v>0</v>
      </c>
      <c r="K92" s="22">
        <v>264</v>
      </c>
      <c r="L92" s="23">
        <v>0</v>
      </c>
      <c r="M92" s="20" t="s">
        <v>85</v>
      </c>
    </row>
    <row r="93" spans="1:13">
      <c r="A93" s="20" t="s">
        <v>278</v>
      </c>
      <c r="B93" s="20" t="s">
        <v>101</v>
      </c>
      <c r="C93" s="20" t="s">
        <v>102</v>
      </c>
      <c r="D93" s="20" t="s">
        <v>48</v>
      </c>
      <c r="E93" s="20" t="s">
        <v>137</v>
      </c>
      <c r="F93" s="21">
        <v>46260</v>
      </c>
      <c r="G93" s="22">
        <v>264</v>
      </c>
      <c r="H93" s="21">
        <v>46296</v>
      </c>
      <c r="I93" s="20" t="s">
        <v>107</v>
      </c>
      <c r="J93" s="22">
        <v>0</v>
      </c>
      <c r="K93" s="22">
        <v>264</v>
      </c>
      <c r="L93" s="23">
        <v>0</v>
      </c>
      <c r="M93" s="20" t="s">
        <v>85</v>
      </c>
    </row>
    <row r="94" spans="1:13">
      <c r="A94" s="20" t="s">
        <v>279</v>
      </c>
      <c r="B94" s="20" t="s">
        <v>280</v>
      </c>
      <c r="C94" s="20" t="s">
        <v>136</v>
      </c>
      <c r="D94" s="20" t="s">
        <v>48</v>
      </c>
      <c r="E94" s="20" t="s">
        <v>137</v>
      </c>
      <c r="F94" s="21">
        <v>46100</v>
      </c>
      <c r="G94" s="22">
        <v>262</v>
      </c>
      <c r="H94" s="21">
        <v>46113</v>
      </c>
      <c r="I94" s="20" t="s">
        <v>84</v>
      </c>
      <c r="J94" s="22">
        <v>185</v>
      </c>
      <c r="K94" s="22">
        <v>77</v>
      </c>
      <c r="L94" s="23">
        <v>0.70610687022900764</v>
      </c>
      <c r="M94" s="20" t="s">
        <v>85</v>
      </c>
    </row>
    <row r="95" spans="1:13">
      <c r="A95" s="20" t="s">
        <v>281</v>
      </c>
      <c r="B95" s="20" t="s">
        <v>282</v>
      </c>
      <c r="C95" s="20" t="s">
        <v>197</v>
      </c>
      <c r="D95" s="20" t="s">
        <v>45</v>
      </c>
      <c r="E95" s="20" t="s">
        <v>89</v>
      </c>
      <c r="F95" s="21">
        <v>46198</v>
      </c>
      <c r="G95" s="22">
        <v>261</v>
      </c>
      <c r="H95" s="21">
        <v>46235</v>
      </c>
      <c r="I95" s="20" t="s">
        <v>84</v>
      </c>
      <c r="J95" s="22">
        <v>33</v>
      </c>
      <c r="K95" s="22">
        <v>228</v>
      </c>
      <c r="L95" s="23">
        <v>0.12643678160919539</v>
      </c>
      <c r="M95" s="20" t="s">
        <v>85</v>
      </c>
    </row>
    <row r="96" spans="1:13">
      <c r="A96" s="20" t="s">
        <v>283</v>
      </c>
      <c r="B96" s="20" t="s">
        <v>284</v>
      </c>
      <c r="C96" s="20" t="s">
        <v>116</v>
      </c>
      <c r="D96" s="20" t="s">
        <v>47</v>
      </c>
      <c r="E96" s="20" t="s">
        <v>117</v>
      </c>
      <c r="F96" s="21">
        <v>46127</v>
      </c>
      <c r="G96" s="22">
        <v>260</v>
      </c>
      <c r="H96" s="21">
        <v>46174</v>
      </c>
      <c r="I96" s="20" t="s">
        <v>84</v>
      </c>
      <c r="J96" s="22">
        <v>87</v>
      </c>
      <c r="K96" s="22">
        <v>173</v>
      </c>
      <c r="L96" s="23">
        <v>0.33461538461538459</v>
      </c>
      <c r="M96" s="20" t="s">
        <v>85</v>
      </c>
    </row>
    <row r="97" spans="1:13">
      <c r="A97" s="20" t="s">
        <v>285</v>
      </c>
      <c r="B97" s="20" t="s">
        <v>280</v>
      </c>
      <c r="C97" s="20" t="s">
        <v>136</v>
      </c>
      <c r="D97" s="20" t="s">
        <v>48</v>
      </c>
      <c r="E97" s="20" t="s">
        <v>103</v>
      </c>
      <c r="F97" s="21">
        <v>46077</v>
      </c>
      <c r="G97" s="22">
        <v>252</v>
      </c>
      <c r="H97" s="21">
        <v>46113</v>
      </c>
      <c r="I97" s="20" t="s">
        <v>84</v>
      </c>
      <c r="J97" s="22">
        <v>90</v>
      </c>
      <c r="K97" s="22">
        <v>162</v>
      </c>
      <c r="L97" s="23">
        <v>0.35714285714285721</v>
      </c>
      <c r="M97" s="20" t="s">
        <v>85</v>
      </c>
    </row>
    <row r="98" spans="1:13">
      <c r="A98" s="20" t="s">
        <v>286</v>
      </c>
      <c r="B98" s="20" t="s">
        <v>272</v>
      </c>
      <c r="C98" s="20" t="s">
        <v>143</v>
      </c>
      <c r="D98" s="20" t="s">
        <v>47</v>
      </c>
      <c r="E98" s="20" t="s">
        <v>117</v>
      </c>
      <c r="F98" s="21">
        <v>46104</v>
      </c>
      <c r="G98" s="22">
        <v>250</v>
      </c>
      <c r="H98" s="21">
        <v>46143</v>
      </c>
      <c r="I98" s="20" t="s">
        <v>84</v>
      </c>
      <c r="J98" s="22">
        <v>100</v>
      </c>
      <c r="K98" s="22">
        <v>150</v>
      </c>
      <c r="L98" s="23">
        <v>0.4</v>
      </c>
      <c r="M98" s="20" t="s">
        <v>85</v>
      </c>
    </row>
    <row r="99" spans="1:13">
      <c r="A99" s="20" t="s">
        <v>287</v>
      </c>
      <c r="B99" s="20" t="s">
        <v>288</v>
      </c>
      <c r="C99" s="20" t="s">
        <v>82</v>
      </c>
      <c r="D99" s="20" t="s">
        <v>47</v>
      </c>
      <c r="E99" s="20" t="s">
        <v>117</v>
      </c>
      <c r="F99" s="21">
        <v>46098</v>
      </c>
      <c r="G99" s="22">
        <v>250</v>
      </c>
      <c r="H99" s="21">
        <v>46113</v>
      </c>
      <c r="I99" s="20" t="s">
        <v>84</v>
      </c>
      <c r="J99" s="22">
        <v>125</v>
      </c>
      <c r="K99" s="22">
        <v>125</v>
      </c>
      <c r="L99" s="23">
        <v>0.5</v>
      </c>
      <c r="M99" s="20" t="s">
        <v>85</v>
      </c>
    </row>
    <row r="100" spans="1:13">
      <c r="A100" s="20" t="s">
        <v>289</v>
      </c>
      <c r="B100" s="20" t="s">
        <v>206</v>
      </c>
      <c r="C100" s="20" t="s">
        <v>207</v>
      </c>
      <c r="D100" s="20" t="s">
        <v>45</v>
      </c>
      <c r="E100" s="20" t="s">
        <v>89</v>
      </c>
      <c r="F100" s="21">
        <v>46049</v>
      </c>
      <c r="G100" s="22">
        <v>240</v>
      </c>
      <c r="H100" s="21">
        <v>46082</v>
      </c>
      <c r="I100" s="20" t="s">
        <v>84</v>
      </c>
      <c r="J100" s="22">
        <v>162</v>
      </c>
      <c r="K100" s="22">
        <v>78</v>
      </c>
      <c r="L100" s="23">
        <v>0.67500000000000004</v>
      </c>
      <c r="M100" s="20" t="s">
        <v>85</v>
      </c>
    </row>
    <row r="101" spans="1:13">
      <c r="A101" s="20" t="s">
        <v>290</v>
      </c>
      <c r="B101" s="20" t="s">
        <v>280</v>
      </c>
      <c r="C101" s="20" t="s">
        <v>136</v>
      </c>
      <c r="D101" s="20" t="s">
        <v>48</v>
      </c>
      <c r="E101" s="20" t="s">
        <v>137</v>
      </c>
      <c r="F101" s="21">
        <v>46188</v>
      </c>
      <c r="G101" s="22">
        <v>229</v>
      </c>
      <c r="H101" s="21">
        <v>46266</v>
      </c>
      <c r="I101" s="20" t="s">
        <v>107</v>
      </c>
      <c r="J101" s="22">
        <v>0</v>
      </c>
      <c r="K101" s="22">
        <v>229</v>
      </c>
      <c r="L101" s="23">
        <v>0</v>
      </c>
      <c r="M101" s="20" t="s">
        <v>85</v>
      </c>
    </row>
    <row r="102" spans="1:13">
      <c r="A102" s="20" t="s">
        <v>291</v>
      </c>
      <c r="B102" s="20" t="s">
        <v>292</v>
      </c>
      <c r="C102" s="20" t="s">
        <v>82</v>
      </c>
      <c r="D102" s="20" t="s">
        <v>47</v>
      </c>
      <c r="E102" s="20" t="s">
        <v>144</v>
      </c>
      <c r="F102" s="21">
        <v>46092</v>
      </c>
      <c r="G102" s="22">
        <v>225</v>
      </c>
      <c r="H102" s="21">
        <v>46143</v>
      </c>
      <c r="I102" s="20" t="s">
        <v>84</v>
      </c>
      <c r="J102" s="22">
        <v>76</v>
      </c>
      <c r="K102" s="22">
        <v>149</v>
      </c>
      <c r="L102" s="23">
        <v>0.33777777777777779</v>
      </c>
      <c r="M102" s="20" t="s">
        <v>85</v>
      </c>
    </row>
    <row r="103" spans="1:13">
      <c r="A103" s="20" t="s">
        <v>293</v>
      </c>
      <c r="B103" s="20" t="s">
        <v>294</v>
      </c>
      <c r="C103" s="20" t="s">
        <v>197</v>
      </c>
      <c r="D103" s="20" t="s">
        <v>45</v>
      </c>
      <c r="E103" s="20" t="s">
        <v>129</v>
      </c>
      <c r="F103" s="21">
        <v>46132</v>
      </c>
      <c r="G103" s="22">
        <v>219</v>
      </c>
      <c r="H103" s="21">
        <v>46174</v>
      </c>
      <c r="I103" s="20" t="s">
        <v>84</v>
      </c>
      <c r="J103" s="22">
        <v>108</v>
      </c>
      <c r="K103" s="22">
        <v>111</v>
      </c>
      <c r="L103" s="23">
        <v>0.49315068493150682</v>
      </c>
      <c r="M103" s="20" t="s">
        <v>85</v>
      </c>
    </row>
    <row r="104" spans="1:13">
      <c r="A104" s="20" t="s">
        <v>295</v>
      </c>
      <c r="B104" s="20" t="s">
        <v>296</v>
      </c>
      <c r="C104" s="20" t="s">
        <v>160</v>
      </c>
      <c r="D104" s="20" t="s">
        <v>46</v>
      </c>
      <c r="E104" s="20" t="s">
        <v>113</v>
      </c>
      <c r="F104" s="21">
        <v>46084</v>
      </c>
      <c r="G104" s="22">
        <v>216</v>
      </c>
      <c r="H104" s="21">
        <v>46143</v>
      </c>
      <c r="I104" s="20" t="s">
        <v>239</v>
      </c>
      <c r="J104" s="22">
        <v>216</v>
      </c>
      <c r="K104" s="22">
        <v>0</v>
      </c>
      <c r="L104" s="23">
        <v>1</v>
      </c>
      <c r="M104" s="20" t="s">
        <v>240</v>
      </c>
    </row>
    <row r="105" spans="1:13">
      <c r="A105" s="20" t="s">
        <v>297</v>
      </c>
      <c r="B105" s="20" t="s">
        <v>214</v>
      </c>
      <c r="C105" s="20" t="s">
        <v>207</v>
      </c>
      <c r="D105" s="20" t="s">
        <v>45</v>
      </c>
      <c r="E105" s="20" t="s">
        <v>93</v>
      </c>
      <c r="F105" s="21">
        <v>46199</v>
      </c>
      <c r="G105" s="22">
        <v>212</v>
      </c>
      <c r="H105" s="21">
        <v>46235</v>
      </c>
      <c r="I105" s="20" t="s">
        <v>84</v>
      </c>
      <c r="J105" s="22">
        <v>42</v>
      </c>
      <c r="K105" s="22">
        <v>170</v>
      </c>
      <c r="L105" s="23">
        <v>0.1981132075471698</v>
      </c>
      <c r="M105" s="20" t="s">
        <v>85</v>
      </c>
    </row>
    <row r="106" spans="1:13">
      <c r="A106" s="20" t="s">
        <v>298</v>
      </c>
      <c r="B106" s="20" t="s">
        <v>299</v>
      </c>
      <c r="C106" s="20" t="s">
        <v>98</v>
      </c>
      <c r="D106" s="20" t="s">
        <v>46</v>
      </c>
      <c r="E106" s="20" t="s">
        <v>113</v>
      </c>
      <c r="F106" s="21">
        <v>46119</v>
      </c>
      <c r="G106" s="22">
        <v>208</v>
      </c>
      <c r="H106" s="21">
        <v>46204</v>
      </c>
      <c r="I106" s="20" t="s">
        <v>84</v>
      </c>
      <c r="J106" s="22">
        <v>34</v>
      </c>
      <c r="K106" s="22">
        <v>174</v>
      </c>
      <c r="L106" s="23">
        <v>0.16346153846153849</v>
      </c>
      <c r="M106" s="20" t="s">
        <v>85</v>
      </c>
    </row>
    <row r="107" spans="1:13">
      <c r="A107" s="20" t="s">
        <v>300</v>
      </c>
      <c r="B107" s="20" t="s">
        <v>301</v>
      </c>
      <c r="C107" s="20" t="s">
        <v>140</v>
      </c>
      <c r="D107" s="20" t="s">
        <v>48</v>
      </c>
      <c r="E107" s="20" t="s">
        <v>137</v>
      </c>
      <c r="F107" s="21">
        <v>46176</v>
      </c>
      <c r="G107" s="22">
        <v>205</v>
      </c>
      <c r="H107" s="21">
        <v>46204</v>
      </c>
      <c r="I107" s="20" t="s">
        <v>84</v>
      </c>
      <c r="J107" s="22">
        <v>46</v>
      </c>
      <c r="K107" s="22">
        <v>159</v>
      </c>
      <c r="L107" s="23">
        <v>0.224390243902439</v>
      </c>
      <c r="M107" s="20" t="s">
        <v>85</v>
      </c>
    </row>
    <row r="108" spans="1:13">
      <c r="A108" s="20" t="s">
        <v>302</v>
      </c>
      <c r="B108" s="20" t="s">
        <v>299</v>
      </c>
      <c r="C108" s="20" t="s">
        <v>98</v>
      </c>
      <c r="D108" s="20" t="s">
        <v>46</v>
      </c>
      <c r="E108" s="20" t="s">
        <v>113</v>
      </c>
      <c r="F108" s="21">
        <v>46046</v>
      </c>
      <c r="G108" s="22">
        <v>198</v>
      </c>
      <c r="H108" s="21">
        <v>46054</v>
      </c>
      <c r="I108" s="20" t="s">
        <v>84</v>
      </c>
      <c r="J108" s="22">
        <v>175</v>
      </c>
      <c r="K108" s="22">
        <v>23</v>
      </c>
      <c r="L108" s="23">
        <v>0.88383838383838387</v>
      </c>
      <c r="M108" s="20" t="s">
        <v>85</v>
      </c>
    </row>
    <row r="109" spans="1:13">
      <c r="A109" s="20" t="s">
        <v>303</v>
      </c>
      <c r="B109" s="20" t="s">
        <v>304</v>
      </c>
      <c r="C109" s="20" t="s">
        <v>98</v>
      </c>
      <c r="D109" s="20" t="s">
        <v>46</v>
      </c>
      <c r="E109" s="20" t="s">
        <v>99</v>
      </c>
      <c r="F109" s="21">
        <v>46119</v>
      </c>
      <c r="G109" s="22">
        <v>193</v>
      </c>
      <c r="H109" s="21">
        <v>46143</v>
      </c>
      <c r="I109" s="20" t="s">
        <v>84</v>
      </c>
      <c r="J109" s="22">
        <v>76</v>
      </c>
      <c r="K109" s="22">
        <v>117</v>
      </c>
      <c r="L109" s="23">
        <v>0.39378238341968907</v>
      </c>
      <c r="M109" s="20" t="s">
        <v>85</v>
      </c>
    </row>
    <row r="110" spans="1:13">
      <c r="A110" s="20" t="s">
        <v>305</v>
      </c>
      <c r="B110" s="20" t="s">
        <v>306</v>
      </c>
      <c r="C110" s="20" t="s">
        <v>110</v>
      </c>
      <c r="D110" s="20" t="s">
        <v>46</v>
      </c>
      <c r="E110" s="20" t="s">
        <v>99</v>
      </c>
      <c r="F110" s="21">
        <v>46119</v>
      </c>
      <c r="G110" s="22">
        <v>188</v>
      </c>
      <c r="H110" s="21">
        <v>46174</v>
      </c>
      <c r="I110" s="20" t="s">
        <v>84</v>
      </c>
      <c r="J110" s="22">
        <v>93</v>
      </c>
      <c r="K110" s="22">
        <v>95</v>
      </c>
      <c r="L110" s="23">
        <v>0.49468085106382981</v>
      </c>
      <c r="M110" s="20" t="s">
        <v>85</v>
      </c>
    </row>
    <row r="111" spans="1:13">
      <c r="A111" s="20" t="s">
        <v>307</v>
      </c>
      <c r="B111" s="20" t="s">
        <v>294</v>
      </c>
      <c r="C111" s="20" t="s">
        <v>197</v>
      </c>
      <c r="D111" s="20" t="s">
        <v>45</v>
      </c>
      <c r="E111" s="20" t="s">
        <v>129</v>
      </c>
      <c r="F111" s="21">
        <v>46181</v>
      </c>
      <c r="G111" s="22">
        <v>187</v>
      </c>
      <c r="H111" s="21">
        <v>46204</v>
      </c>
      <c r="I111" s="20" t="s">
        <v>84</v>
      </c>
      <c r="J111" s="22">
        <v>38</v>
      </c>
      <c r="K111" s="22">
        <v>149</v>
      </c>
      <c r="L111" s="23">
        <v>0.2032085561497326</v>
      </c>
      <c r="M111" s="20" t="s">
        <v>85</v>
      </c>
    </row>
    <row r="112" spans="1:13">
      <c r="A112" s="20" t="s">
        <v>308</v>
      </c>
      <c r="B112" s="20" t="s">
        <v>248</v>
      </c>
      <c r="C112" s="20" t="s">
        <v>151</v>
      </c>
      <c r="D112" s="20" t="s">
        <v>46</v>
      </c>
      <c r="E112" s="20" t="s">
        <v>99</v>
      </c>
      <c r="F112" s="21">
        <v>46147</v>
      </c>
      <c r="G112" s="22">
        <v>185</v>
      </c>
      <c r="H112" s="21">
        <v>46204</v>
      </c>
      <c r="I112" s="20" t="s">
        <v>84</v>
      </c>
      <c r="J112" s="22">
        <v>30</v>
      </c>
      <c r="K112" s="22">
        <v>155</v>
      </c>
      <c r="L112" s="23">
        <v>0.1621621621621622</v>
      </c>
      <c r="M112" s="20" t="s">
        <v>85</v>
      </c>
    </row>
    <row r="113" spans="1:13">
      <c r="A113" s="20" t="s">
        <v>309</v>
      </c>
      <c r="B113" s="20" t="s">
        <v>146</v>
      </c>
      <c r="C113" s="20" t="s">
        <v>92</v>
      </c>
      <c r="D113" s="20" t="s">
        <v>45</v>
      </c>
      <c r="E113" s="20" t="s">
        <v>129</v>
      </c>
      <c r="F113" s="21">
        <v>46150</v>
      </c>
      <c r="G113" s="22">
        <v>182</v>
      </c>
      <c r="H113" s="21">
        <v>46174</v>
      </c>
      <c r="I113" s="20" t="s">
        <v>84</v>
      </c>
      <c r="J113" s="22">
        <v>90</v>
      </c>
      <c r="K113" s="22">
        <v>92</v>
      </c>
      <c r="L113" s="23">
        <v>0.49450549450549453</v>
      </c>
      <c r="M113" s="20" t="s">
        <v>85</v>
      </c>
    </row>
    <row r="114" spans="1:13">
      <c r="A114" s="20" t="s">
        <v>310</v>
      </c>
      <c r="B114" s="20" t="s">
        <v>268</v>
      </c>
      <c r="C114" s="20" t="s">
        <v>120</v>
      </c>
      <c r="D114" s="20" t="s">
        <v>47</v>
      </c>
      <c r="E114" s="20" t="s">
        <v>144</v>
      </c>
      <c r="F114" s="21">
        <v>46193</v>
      </c>
      <c r="G114" s="22">
        <v>178</v>
      </c>
      <c r="H114" s="21">
        <v>46204</v>
      </c>
      <c r="I114" s="20" t="s">
        <v>84</v>
      </c>
      <c r="J114" s="22">
        <v>88</v>
      </c>
      <c r="K114" s="22">
        <v>90</v>
      </c>
      <c r="L114" s="23">
        <v>0.4943820224719101</v>
      </c>
      <c r="M114" s="20" t="s">
        <v>85</v>
      </c>
    </row>
    <row r="115" spans="1:13">
      <c r="A115" s="20" t="s">
        <v>311</v>
      </c>
      <c r="B115" s="20" t="s">
        <v>169</v>
      </c>
      <c r="C115" s="20" t="s">
        <v>143</v>
      </c>
      <c r="D115" s="20" t="s">
        <v>47</v>
      </c>
      <c r="E115" s="20" t="s">
        <v>117</v>
      </c>
      <c r="F115" s="21">
        <v>46103</v>
      </c>
      <c r="G115" s="22">
        <v>174</v>
      </c>
      <c r="H115" s="21">
        <v>46143</v>
      </c>
      <c r="I115" s="20" t="s">
        <v>84</v>
      </c>
      <c r="J115" s="22">
        <v>48</v>
      </c>
      <c r="K115" s="22">
        <v>126</v>
      </c>
      <c r="L115" s="23">
        <v>0.27586206896551718</v>
      </c>
      <c r="M115" s="20" t="s">
        <v>85</v>
      </c>
    </row>
    <row r="116" spans="1:13">
      <c r="A116" s="20" t="s">
        <v>312</v>
      </c>
      <c r="B116" s="20" t="s">
        <v>203</v>
      </c>
      <c r="C116" s="20" t="s">
        <v>156</v>
      </c>
      <c r="D116" s="20" t="s">
        <v>45</v>
      </c>
      <c r="E116" s="20" t="s">
        <v>89</v>
      </c>
      <c r="F116" s="21">
        <v>46119</v>
      </c>
      <c r="G116" s="22">
        <v>170</v>
      </c>
      <c r="H116" s="21">
        <v>46174</v>
      </c>
      <c r="I116" s="20" t="s">
        <v>84</v>
      </c>
      <c r="J116" s="22">
        <v>42</v>
      </c>
      <c r="K116" s="22">
        <v>128</v>
      </c>
      <c r="L116" s="23">
        <v>0.2470588235294118</v>
      </c>
      <c r="M116" s="20" t="s">
        <v>85</v>
      </c>
    </row>
    <row r="117" spans="1:13">
      <c r="A117" s="20" t="s">
        <v>313</v>
      </c>
      <c r="B117" s="20" t="s">
        <v>314</v>
      </c>
      <c r="C117" s="20" t="s">
        <v>82</v>
      </c>
      <c r="D117" s="20" t="s">
        <v>47</v>
      </c>
      <c r="E117" s="20" t="s">
        <v>83</v>
      </c>
      <c r="F117" s="21">
        <v>46047</v>
      </c>
      <c r="G117" s="22">
        <v>159</v>
      </c>
      <c r="H117" s="21">
        <v>46082</v>
      </c>
      <c r="I117" s="20" t="s">
        <v>84</v>
      </c>
      <c r="J117" s="22">
        <v>120</v>
      </c>
      <c r="K117" s="22">
        <v>39</v>
      </c>
      <c r="L117" s="23">
        <v>0.75471698113207553</v>
      </c>
      <c r="M117" s="20" t="s">
        <v>85</v>
      </c>
    </row>
    <row r="118" spans="1:13">
      <c r="A118" s="20" t="s">
        <v>315</v>
      </c>
      <c r="B118" s="20" t="s">
        <v>316</v>
      </c>
      <c r="C118" s="20" t="s">
        <v>136</v>
      </c>
      <c r="D118" s="20" t="s">
        <v>48</v>
      </c>
      <c r="E118" s="20" t="s">
        <v>137</v>
      </c>
      <c r="F118" s="21">
        <v>46240</v>
      </c>
      <c r="G118" s="22">
        <v>158</v>
      </c>
      <c r="H118" s="21">
        <v>46266</v>
      </c>
      <c r="I118" s="20" t="s">
        <v>107</v>
      </c>
      <c r="J118" s="22">
        <v>0</v>
      </c>
      <c r="K118" s="22">
        <v>158</v>
      </c>
      <c r="L118" s="23">
        <v>0</v>
      </c>
      <c r="M118" s="20" t="s">
        <v>85</v>
      </c>
    </row>
    <row r="119" spans="1:13">
      <c r="A119" s="20" t="s">
        <v>317</v>
      </c>
      <c r="B119" s="20" t="s">
        <v>318</v>
      </c>
      <c r="C119" s="20" t="s">
        <v>82</v>
      </c>
      <c r="D119" s="20" t="s">
        <v>47</v>
      </c>
      <c r="E119" s="20" t="s">
        <v>144</v>
      </c>
      <c r="F119" s="21">
        <v>46184</v>
      </c>
      <c r="G119" s="22">
        <v>154</v>
      </c>
      <c r="H119" s="21">
        <v>46266</v>
      </c>
      <c r="I119" s="20" t="s">
        <v>107</v>
      </c>
      <c r="J119" s="22">
        <v>0</v>
      </c>
      <c r="K119" s="22">
        <v>154</v>
      </c>
      <c r="L119" s="23">
        <v>0</v>
      </c>
      <c r="M119" s="20" t="s">
        <v>85</v>
      </c>
    </row>
    <row r="120" spans="1:13">
      <c r="A120" s="20" t="s">
        <v>319</v>
      </c>
      <c r="B120" s="20" t="s">
        <v>124</v>
      </c>
      <c r="C120" s="20" t="s">
        <v>106</v>
      </c>
      <c r="D120" s="20" t="s">
        <v>47</v>
      </c>
      <c r="E120" s="20" t="s">
        <v>117</v>
      </c>
      <c r="F120" s="21">
        <v>46158</v>
      </c>
      <c r="G120" s="22">
        <v>152</v>
      </c>
      <c r="H120" s="21">
        <v>46235</v>
      </c>
      <c r="I120" s="20" t="s">
        <v>84</v>
      </c>
      <c r="J120" s="22">
        <v>13</v>
      </c>
      <c r="K120" s="22">
        <v>139</v>
      </c>
      <c r="L120" s="23">
        <v>8.5526315789473686E-2</v>
      </c>
      <c r="M120" s="20" t="s">
        <v>85</v>
      </c>
    </row>
    <row r="121" spans="1:13">
      <c r="A121" s="20" t="s">
        <v>320</v>
      </c>
      <c r="B121" s="20" t="s">
        <v>242</v>
      </c>
      <c r="C121" s="20" t="s">
        <v>184</v>
      </c>
      <c r="D121" s="20" t="s">
        <v>48</v>
      </c>
      <c r="E121" s="20" t="s">
        <v>137</v>
      </c>
      <c r="F121" s="21">
        <v>46095</v>
      </c>
      <c r="G121" s="22">
        <v>151</v>
      </c>
      <c r="H121" s="21">
        <v>46143</v>
      </c>
      <c r="I121" s="20" t="s">
        <v>84</v>
      </c>
      <c r="J121" s="22">
        <v>120</v>
      </c>
      <c r="K121" s="22">
        <v>31</v>
      </c>
      <c r="L121" s="23">
        <v>0.79470198675496684</v>
      </c>
      <c r="M121" s="20" t="s">
        <v>85</v>
      </c>
    </row>
    <row r="122" spans="1:13">
      <c r="A122" s="20" t="s">
        <v>321</v>
      </c>
      <c r="B122" s="20" t="s">
        <v>322</v>
      </c>
      <c r="C122" s="20" t="s">
        <v>143</v>
      </c>
      <c r="D122" s="20" t="s">
        <v>47</v>
      </c>
      <c r="E122" s="20" t="s">
        <v>83</v>
      </c>
      <c r="F122" s="21">
        <v>46060</v>
      </c>
      <c r="G122" s="22">
        <v>143</v>
      </c>
      <c r="H122" s="21">
        <v>46082</v>
      </c>
      <c r="I122" s="20" t="s">
        <v>84</v>
      </c>
      <c r="J122" s="22">
        <v>84</v>
      </c>
      <c r="K122" s="22">
        <v>59</v>
      </c>
      <c r="L122" s="23">
        <v>0.58741258741258739</v>
      </c>
      <c r="M122" s="20" t="s">
        <v>85</v>
      </c>
    </row>
    <row r="123" spans="1:13">
      <c r="A123" s="20" t="s">
        <v>323</v>
      </c>
      <c r="B123" s="20" t="s">
        <v>324</v>
      </c>
      <c r="C123" s="20" t="s">
        <v>207</v>
      </c>
      <c r="D123" s="20" t="s">
        <v>45</v>
      </c>
      <c r="E123" s="20" t="s">
        <v>93</v>
      </c>
      <c r="F123" s="21">
        <v>46182</v>
      </c>
      <c r="G123" s="22">
        <v>132</v>
      </c>
      <c r="H123" s="21">
        <v>46235</v>
      </c>
      <c r="I123" s="20" t="s">
        <v>84</v>
      </c>
      <c r="J123" s="22">
        <v>13</v>
      </c>
      <c r="K123" s="22">
        <v>119</v>
      </c>
      <c r="L123" s="23">
        <v>9.8484848484848481E-2</v>
      </c>
      <c r="M123" s="20" t="s">
        <v>85</v>
      </c>
    </row>
    <row r="124" spans="1:13">
      <c r="A124" s="20" t="s">
        <v>325</v>
      </c>
      <c r="B124" s="20" t="s">
        <v>214</v>
      </c>
      <c r="C124" s="20" t="s">
        <v>207</v>
      </c>
      <c r="D124" s="20" t="s">
        <v>45</v>
      </c>
      <c r="E124" s="20" t="s">
        <v>93</v>
      </c>
      <c r="F124" s="21">
        <v>46190</v>
      </c>
      <c r="G124" s="22">
        <v>130</v>
      </c>
      <c r="H124" s="21">
        <v>46204</v>
      </c>
      <c r="I124" s="20" t="s">
        <v>84</v>
      </c>
      <c r="J124" s="22">
        <v>32</v>
      </c>
      <c r="K124" s="22">
        <v>98</v>
      </c>
      <c r="L124" s="23">
        <v>0.2461538461538462</v>
      </c>
      <c r="M124" s="20" t="s">
        <v>85</v>
      </c>
    </row>
    <row r="125" spans="1:13">
      <c r="A125" s="20" t="s">
        <v>326</v>
      </c>
      <c r="B125" s="20" t="s">
        <v>327</v>
      </c>
      <c r="C125" s="20" t="s">
        <v>98</v>
      </c>
      <c r="D125" s="20" t="s">
        <v>46</v>
      </c>
      <c r="E125" s="20" t="s">
        <v>113</v>
      </c>
      <c r="F125" s="21">
        <v>46177</v>
      </c>
      <c r="G125" s="22">
        <v>129</v>
      </c>
      <c r="H125" s="21">
        <v>46204</v>
      </c>
      <c r="I125" s="20" t="s">
        <v>84</v>
      </c>
      <c r="J125" s="22">
        <v>16</v>
      </c>
      <c r="K125" s="22">
        <v>113</v>
      </c>
      <c r="L125" s="23">
        <v>0.124031007751938</v>
      </c>
      <c r="M125" s="20" t="s">
        <v>85</v>
      </c>
    </row>
    <row r="126" spans="1:13">
      <c r="A126" s="24" t="s">
        <v>49</v>
      </c>
      <c r="B126" s="24"/>
      <c r="C126" s="24"/>
      <c r="D126" s="24"/>
      <c r="E126" s="24"/>
      <c r="F126" s="25"/>
      <c r="G126" s="26">
        <f>SUM(G5:G125)</f>
        <v>61000</v>
      </c>
      <c r="H126" s="25"/>
      <c r="I126" s="24"/>
      <c r="J126" s="26">
        <f>SUM(J5:J125)</f>
        <v>19274</v>
      </c>
      <c r="K126" s="26">
        <f>SUM(K5:K125)</f>
        <v>41726</v>
      </c>
      <c r="L126" s="24"/>
      <c r="M126" s="24"/>
    </row>
    <row r="127" spans="1:13">
      <c r="A127" s="27" t="s">
        <v>328</v>
      </c>
      <c r="B127" s="27"/>
      <c r="C127" s="27"/>
      <c r="D127" s="27"/>
      <c r="E127" s="27"/>
      <c r="F127" s="28"/>
      <c r="G127" s="29">
        <f>G126-J126-K126</f>
        <v>0</v>
      </c>
      <c r="H127" s="28"/>
      <c r="I127" s="27"/>
      <c r="J127" s="29"/>
      <c r="K127" s="29"/>
      <c r="L127" s="27"/>
      <c r="M127" s="27"/>
    </row>
  </sheetData>
  <mergeCells count="2">
    <mergeCell ref="A1:M1"/>
    <mergeCell ref="A2:M2"/>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9E50F-8686-4176-8C3B-A1D0BCB01A96}">
  <dimension ref="A1:D34"/>
  <sheetViews>
    <sheetView workbookViewId="0">
      <pane ySplit="2" topLeftCell="A3" activePane="bottomLeft" state="frozen"/>
      <selection pane="bottomLeft"/>
    </sheetView>
  </sheetViews>
  <sheetFormatPr defaultRowHeight="15"/>
  <cols>
    <col min="1" max="1" width="34.7109375" customWidth="1"/>
    <col min="2" max="4" width="18.7109375" customWidth="1"/>
  </cols>
  <sheetData>
    <row r="1" spans="1:4">
      <c r="A1" s="43" t="s">
        <v>329</v>
      </c>
      <c r="B1" s="43"/>
      <c r="C1" s="43"/>
      <c r="D1" s="43"/>
    </row>
    <row r="2" spans="1:4">
      <c r="A2" s="47" t="s">
        <v>330</v>
      </c>
      <c r="B2" s="47"/>
      <c r="C2" s="47"/>
      <c r="D2" s="47"/>
    </row>
    <row r="3" spans="1:4">
      <c r="A3" s="1"/>
      <c r="B3" s="1"/>
      <c r="C3" s="1"/>
      <c r="D3" s="1"/>
    </row>
    <row r="4" spans="1:4">
      <c r="A4" s="30" t="s">
        <v>331</v>
      </c>
      <c r="B4" s="30"/>
      <c r="C4" s="30"/>
      <c r="D4" s="30"/>
    </row>
    <row r="5" spans="1:4">
      <c r="A5" s="31" t="s">
        <v>332</v>
      </c>
      <c r="B5" s="31" t="s">
        <v>77</v>
      </c>
      <c r="C5" s="31" t="s">
        <v>333</v>
      </c>
      <c r="D5" s="1"/>
    </row>
    <row r="6" spans="1:4">
      <c r="A6" s="1" t="s">
        <v>334</v>
      </c>
      <c r="B6" s="32">
        <v>11605</v>
      </c>
      <c r="C6" s="33">
        <f>B6/B$9</f>
        <v>0.24914661113377273</v>
      </c>
      <c r="D6" s="1"/>
    </row>
    <row r="7" spans="1:4">
      <c r="A7" s="1" t="s">
        <v>335</v>
      </c>
      <c r="B7" s="32">
        <v>33502</v>
      </c>
      <c r="C7" s="33">
        <f>B7/B$9</f>
        <v>0.71925116468794947</v>
      </c>
      <c r="D7" s="1"/>
    </row>
    <row r="8" spans="1:4">
      <c r="A8" s="1" t="s">
        <v>336</v>
      </c>
      <c r="B8" s="32">
        <v>1472</v>
      </c>
      <c r="C8" s="33">
        <f>B8/B$9</f>
        <v>3.1602224178277766E-2</v>
      </c>
      <c r="D8" s="1"/>
    </row>
    <row r="9" spans="1:4">
      <c r="A9" s="34" t="s">
        <v>49</v>
      </c>
      <c r="B9" s="35">
        <f>SUM(B6:B8)</f>
        <v>46579</v>
      </c>
      <c r="C9" s="36">
        <f>SUM(C6:C8)</f>
        <v>0.99999999999999989</v>
      </c>
      <c r="D9" s="1"/>
    </row>
    <row r="10" spans="1:4">
      <c r="A10" s="1"/>
      <c r="B10" s="1"/>
      <c r="C10" s="1"/>
      <c r="D10" s="1"/>
    </row>
    <row r="11" spans="1:4">
      <c r="A11" s="48" t="s">
        <v>337</v>
      </c>
      <c r="B11" s="48"/>
      <c r="C11" s="48"/>
      <c r="D11" s="48"/>
    </row>
    <row r="12" spans="1:4">
      <c r="A12" s="31" t="s">
        <v>338</v>
      </c>
      <c r="B12" s="31" t="s">
        <v>339</v>
      </c>
      <c r="C12" s="31" t="s">
        <v>340</v>
      </c>
      <c r="D12" s="31" t="s">
        <v>341</v>
      </c>
    </row>
    <row r="13" spans="1:4">
      <c r="A13" s="1" t="s">
        <v>60</v>
      </c>
      <c r="B13" s="32">
        <v>6928</v>
      </c>
      <c r="C13" s="32">
        <v>9100</v>
      </c>
      <c r="D13" s="32">
        <f>C13-B13</f>
        <v>2172</v>
      </c>
    </row>
    <row r="14" spans="1:4">
      <c r="A14" s="1" t="s">
        <v>61</v>
      </c>
      <c r="B14" s="32">
        <v>6479</v>
      </c>
      <c r="C14" s="32">
        <v>7400</v>
      </c>
      <c r="D14" s="32">
        <f>C14-B14</f>
        <v>921</v>
      </c>
    </row>
    <row r="15" spans="1:4">
      <c r="A15" s="1" t="s">
        <v>62</v>
      </c>
      <c r="B15" s="32">
        <v>6723</v>
      </c>
      <c r="C15" s="32">
        <v>7899</v>
      </c>
      <c r="D15" s="32">
        <f>C15-B15</f>
        <v>1176</v>
      </c>
    </row>
    <row r="16" spans="1:4">
      <c r="A16" s="1" t="s">
        <v>63</v>
      </c>
      <c r="B16" s="32">
        <v>6910</v>
      </c>
      <c r="C16" s="32">
        <v>10700</v>
      </c>
      <c r="D16" s="32">
        <f>C16-B16</f>
        <v>3790</v>
      </c>
    </row>
    <row r="17" spans="1:4">
      <c r="A17" s="1" t="s">
        <v>64</v>
      </c>
      <c r="B17" s="32">
        <v>7974</v>
      </c>
      <c r="C17" s="32">
        <v>8600</v>
      </c>
      <c r="D17" s="32">
        <f>C17-B17</f>
        <v>626</v>
      </c>
    </row>
    <row r="18" spans="1:4">
      <c r="A18" s="1" t="s">
        <v>65</v>
      </c>
      <c r="B18" s="32">
        <v>7823</v>
      </c>
      <c r="C18" s="32">
        <v>4701</v>
      </c>
      <c r="D18" s="32">
        <f>C18-B18</f>
        <v>-3122</v>
      </c>
    </row>
    <row r="19" spans="1:4">
      <c r="A19" s="34" t="s">
        <v>342</v>
      </c>
      <c r="B19" s="35">
        <f>SUM(B13:B18)</f>
        <v>42837</v>
      </c>
      <c r="C19" s="35">
        <f>SUM(C13:C18)</f>
        <v>48400</v>
      </c>
      <c r="D19" s="35">
        <f>C19-B19</f>
        <v>5563</v>
      </c>
    </row>
    <row r="20" spans="1:4">
      <c r="A20" s="34" t="s">
        <v>343</v>
      </c>
      <c r="B20" s="35">
        <f>AVERAGE(B13:B18)</f>
        <v>7139.5</v>
      </c>
      <c r="C20" s="35">
        <f>AVERAGE(C13:C18)</f>
        <v>8066.666666666667</v>
      </c>
      <c r="D20" s="35">
        <f>C20-B20</f>
        <v>927.16666666666697</v>
      </c>
    </row>
    <row r="21" spans="1:4">
      <c r="A21" s="1"/>
      <c r="B21" s="1"/>
      <c r="C21" s="1"/>
      <c r="D21" s="1"/>
    </row>
    <row r="22" spans="1:4">
      <c r="A22" s="48" t="s">
        <v>344</v>
      </c>
      <c r="B22" s="48"/>
      <c r="C22" s="48"/>
      <c r="D22" s="48"/>
    </row>
    <row r="23" spans="1:4">
      <c r="A23" s="1" t="s">
        <v>345</v>
      </c>
      <c r="B23" s="32">
        <f>B9</f>
        <v>46579</v>
      </c>
      <c r="C23" s="1"/>
      <c r="D23" s="1"/>
    </row>
    <row r="24" spans="1:4">
      <c r="A24" s="1" t="s">
        <v>346</v>
      </c>
      <c r="B24" s="32">
        <f>B20</f>
        <v>7139.5</v>
      </c>
      <c r="C24" s="1"/>
      <c r="D24" s="1"/>
    </row>
    <row r="25" spans="1:4">
      <c r="A25" s="1" t="s">
        <v>347</v>
      </c>
      <c r="B25" s="32">
        <f>C20</f>
        <v>8066.666666666667</v>
      </c>
      <c r="C25" s="1"/>
      <c r="D25" s="1"/>
    </row>
    <row r="26" spans="1:4">
      <c r="A26" s="1" t="s">
        <v>348</v>
      </c>
      <c r="B26" s="37">
        <f>B23/B24</f>
        <v>6.5241263393795084</v>
      </c>
      <c r="C26" s="1"/>
      <c r="D26" s="1"/>
    </row>
    <row r="27" spans="1:4">
      <c r="A27" s="1" t="s">
        <v>349</v>
      </c>
      <c r="B27" s="38">
        <f>D18</f>
        <v>-3122</v>
      </c>
      <c r="C27" s="1"/>
      <c r="D27" s="1"/>
    </row>
    <row r="28" spans="1:4">
      <c r="A28" s="1"/>
      <c r="B28" s="1"/>
      <c r="C28" s="1"/>
      <c r="D28" s="1"/>
    </row>
    <row r="29" spans="1:4">
      <c r="A29" s="48" t="s">
        <v>350</v>
      </c>
      <c r="B29" s="48"/>
      <c r="C29" s="48"/>
      <c r="D29" s="48"/>
    </row>
    <row r="30" spans="1:4" ht="39.75" customHeight="1">
      <c r="A30" s="3" t="s">
        <v>351</v>
      </c>
      <c r="B30" s="3"/>
      <c r="C30" s="3"/>
      <c r="D30" s="3"/>
    </row>
    <row r="31" spans="1:4" ht="45" customHeight="1">
      <c r="A31" s="3" t="s">
        <v>352</v>
      </c>
      <c r="B31" s="3"/>
      <c r="C31" s="3"/>
      <c r="D31" s="3"/>
    </row>
    <row r="32" spans="1:4" ht="45" customHeight="1">
      <c r="A32" s="3" t="s">
        <v>353</v>
      </c>
      <c r="B32" s="3"/>
      <c r="C32" s="3"/>
      <c r="D32" s="3"/>
    </row>
    <row r="33" spans="1:4" ht="45" customHeight="1">
      <c r="A33" s="3" t="s">
        <v>354</v>
      </c>
      <c r="B33" s="3"/>
      <c r="C33" s="3"/>
      <c r="D33" s="3"/>
    </row>
    <row r="34" spans="1:4" ht="60" customHeight="1">
      <c r="A34" s="39" t="s">
        <v>355</v>
      </c>
      <c r="B34" s="39"/>
      <c r="C34" s="39"/>
      <c r="D34" s="39"/>
    </row>
  </sheetData>
  <mergeCells count="11">
    <mergeCell ref="A30:D30"/>
    <mergeCell ref="A31:D31"/>
    <mergeCell ref="A32:D32"/>
    <mergeCell ref="A33:D33"/>
    <mergeCell ref="A34:D34"/>
    <mergeCell ref="A1:D1"/>
    <mergeCell ref="A2:D2"/>
    <mergeCell ref="A4:D4"/>
    <mergeCell ref="A11:D11"/>
    <mergeCell ref="A22:D22"/>
    <mergeCell ref="A29:D29"/>
  </mergeCells>
  <pageMargins left="0.7" right="0.7" top="0.75" bottom="0.75" header="0.3" footer="0.3"/>
  <drawing r:id="rId1"/>
</worksheet>
</file>

<file path=docMetadata/LabelInfo.xml><?xml version="1.0" encoding="utf-8"?>
<clbl:labelList xmlns:clbl="http://schemas.microsoft.com/office/2020/mipLabelMetadata">
  <clbl:label id="{f42aa342-8706-4288-bd11-ebb85995028c}"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i:0#.f|membership|suminlee@microsoft.com</cp:lastModifiedBy>
  <cp:revision/>
  <dcterms:created xsi:type="dcterms:W3CDTF">2026-09-14T04:51:47Z</dcterms:created>
  <dcterms:modified xsi:type="dcterms:W3CDTF">2026-09-14T04:58:44Z</dcterms:modified>
  <cp:category/>
  <cp:contentStatus/>
</cp:coreProperties>
</file>