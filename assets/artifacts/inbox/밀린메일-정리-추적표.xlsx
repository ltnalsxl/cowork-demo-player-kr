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239" documentId="11_C233BA6A7C5F5D0E97E819E7E0BCBE8359B1E8BC" xr6:coauthVersionLast="47" xr6:coauthVersionMax="47" xr10:uidLastSave="{585F6156-64C5-4871-9489-8BE33DA27451}"/>
  <bookViews>
    <workbookView xWindow="0" yWindow="0" windowWidth="0" windowHeight="0" xr2:uid="{00000000-000D-0000-FFFF-FFFF00000000}"/>
  </bookViews>
  <sheets>
    <sheet name="밀린 항목 추적" sheetId="1" r:id="rId1"/>
    <sheet name="제외 항목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C15" i="1"/>
  <c r="C14" i="1"/>
  <c r="C13" i="1"/>
  <c r="C12" i="1"/>
  <c r="B15" i="1"/>
  <c r="B14" i="1"/>
  <c r="B13" i="1"/>
  <c r="B12" i="1"/>
</calcChain>
</file>

<file path=xl/sharedStrings.xml><?xml version="1.0" encoding="utf-8"?>
<sst xmlns="http://schemas.openxmlformats.org/spreadsheetml/2006/main" count="86" uniqueCount="60">
  <si>
    <t>밀린 메일·Teams 정리 추적표 (2026-08-20 ~ 2026-09-03)</t>
  </si>
  <si>
    <t>번호</t>
  </si>
  <si>
    <t>분류</t>
  </si>
  <si>
    <t>채널</t>
  </si>
  <si>
    <t>제목</t>
  </si>
  <si>
    <t>보낸 사람</t>
  </si>
  <si>
    <t>받은 날짜</t>
  </si>
  <si>
    <t>핵심 요청 / 내용</t>
  </si>
  <si>
    <t>기한</t>
  </si>
  <si>
    <t>권장 조치</t>
  </si>
  <si>
    <t>중복 건수</t>
  </si>
  <si>
    <t>답을 기다리는 것</t>
  </si>
  <si>
    <t>메일</t>
  </si>
  <si>
    <t>심사 대응 자료 검토 요청 — 10월 12일 ISMS-P 사후심사</t>
  </si>
  <si>
    <t>정다은 (준법감시인)</t>
  </si>
  <si>
    <t>R-001 공용 관리자 계정 14개, R-002 미암호화 Blob 컨테이너 3개, R-004 Litware 상시 접근권한 — 3건 경영진 결정 및 30분 논의 요청</t>
  </si>
  <si>
    <t>2026-09-25 (R-002)</t>
  </si>
  <si>
    <t>회신 초안 ① — 3건 결정 방향 회신 + 이번 주 30분 일정 제안</t>
  </si>
  <si>
    <t>사업장 출입 – 출입증 미태그 상위 10명</t>
  </si>
  <si>
    <t>MOD Administrator</t>
  </si>
  <si>
    <t>퇴근 태그 누락 164건(전체의 27.3%), 상위 4명이 119건. 후속 조치 담당과 기한 지정 필요</t>
  </si>
  <si>
    <t>미정</t>
  </si>
  <si>
    <t>회신 초안 ② — 담당 지정 및 재발 방지 조치 요청</t>
  </si>
  <si>
    <t>읽기만 하면 되는 것</t>
  </si>
  <si>
    <t>[출입기록 점검] 퇴근 태그 누락 현황 요약 (2026-06-01 ~ 2026-08-20)</t>
  </si>
  <si>
    <t>직원별 누락 건수 원자료(총 600건 기준). 위 리포트의 상세본</t>
  </si>
  <si>
    <t>없음</t>
  </si>
  <si>
    <t>확인 후 보관 — 별도 회신 불필요</t>
  </si>
  <si>
    <t>Teams</t>
  </si>
  <si>
    <t>주간 업무보고 (2026-08-27 ~ 09-03) 세 줄 요약</t>
  </si>
  <si>
    <t>본인 메모</t>
  </si>
  <si>
    <t>ISMS-P 자료 검토 요청과 출입기록 점검 결과 요약. R-002(목표 9/25)가 최우선</t>
  </si>
  <si>
    <t>내용 확인만</t>
  </si>
  <si>
    <t>주간 업무보고 (2026-08-26 ~ 09-01)</t>
  </si>
  <si>
    <t>테넌트 보안·서비스 상태 점검 중심. 공식 의사결정 없음</t>
  </si>
  <si>
    <t>넘겨도 되는 것</t>
  </si>
  <si>
    <t>미읽음 메일 목록 정리 노트</t>
  </si>
  <si>
    <t>9월 2일자 미읽음 메일 목록 — 본 추적표에 이미 반영됨</t>
  </si>
  <si>
    <t>별도 처리 불필요 — 건너뛰기</t>
  </si>
  <si>
    <t>사업장 출입 – 출입증 미태그 상위 10명 (밝은 디자인)</t>
  </si>
  <si>
    <t>3번·2번과 동일 내용의 디자인 변형본</t>
  </si>
  <si>
    <t>원본 1건만 확인하고 나머지는 건너뛰기</t>
  </si>
  <si>
    <t>분류별 집계</t>
  </si>
  <si>
    <t>항목 수</t>
  </si>
  <si>
    <t>원본 메시지 수</t>
  </si>
  <si>
    <t>합계</t>
  </si>
  <si>
    <t>제외 항목 — 뉴스레터 및 시스템 자동 알림</t>
  </si>
  <si>
    <t>최근 수신일</t>
  </si>
  <si>
    <t>건수</t>
  </si>
  <si>
    <t>제외 사유</t>
  </si>
  <si>
    <t>Microsoft Entra ID Protection Weekly Digest</t>
  </si>
  <si>
    <t>Microsoft Security</t>
  </si>
  <si>
    <t>시스템 자동 다이제스트 (위험 사용자·로그인 0건)</t>
  </si>
  <si>
    <t>Weekly digest: Microsoft service updates</t>
  </si>
  <si>
    <t>Microsoft 365 Message center</t>
  </si>
  <si>
    <t>정기 뉴스레터 (2026-09-14까지 발송 예정)</t>
  </si>
  <si>
    <t>Your weekly PIM digest for Zava</t>
  </si>
  <si>
    <t>시스템 자동 다이제스트</t>
  </si>
  <si>
    <t>Communication site' 공유 초대</t>
  </si>
  <si>
    <t>SharePoint 자동 공유 알림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</si>
</sst>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0"/>
      <color rgb="FFB74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2563EB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/>
      <diagonal/>
    </border>
    <border>
      <left style="thin">
        <color rgb="FFD0D5DD"/>
      </left>
      <right/>
      <top/>
      <bottom/>
      <diagonal/>
    </border>
    <border>
      <left style="thin">
        <color rgb="FFD0D5DD"/>
      </left>
      <right/>
      <top/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/>
      <diagonal/>
    </border>
    <border>
      <left/>
      <right style="thin">
        <color rgb="FFD0D5DD"/>
      </right>
      <top/>
      <bottom/>
      <diagonal/>
    </border>
    <border>
      <left/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4" borderId="0" xfId="0" applyFont="1" applyFill="1"/>
    <xf numFmtId="3" fontId="2" fillId="4" borderId="0" xfId="0" applyNumberFormat="1" applyFont="1" applyFill="1" applyAlignment="1">
      <alignment horizontal="center"/>
    </xf>
    <xf numFmtId="0" fontId="4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top" wrapText="1"/>
    </xf>
    <xf numFmtId="1" fontId="4" fillId="3" borderId="4" xfId="0" applyNumberFormat="1" applyFont="1" applyFill="1" applyBorder="1" applyAlignment="1">
      <alignment horizontal="center" vertical="top" wrapText="1"/>
    </xf>
    <xf numFmtId="1" fontId="1" fillId="0" borderId="4" xfId="0" applyNumberFormat="1" applyFont="1" applyBorder="1" applyAlignment="1">
      <alignment horizontal="center" vertical="top" wrapText="1"/>
    </xf>
    <xf numFmtId="1" fontId="1" fillId="3" borderId="4" xfId="0" applyNumberFormat="1" applyFont="1" applyFill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top" wrapText="1"/>
    </xf>
    <xf numFmtId="3" fontId="1" fillId="3" borderId="7" xfId="0" applyNumberFormat="1" applyFont="1" applyFill="1" applyBorder="1" applyAlignment="1">
      <alignment horizontal="center" vertical="top" wrapText="1"/>
    </xf>
    <xf numFmtId="3" fontId="1" fillId="0" borderId="8" xfId="0" applyNumberFormat="1" applyFont="1" applyBorder="1" applyAlignment="1">
      <alignment horizontal="center" vertical="top" wrapText="1"/>
    </xf>
    <xf numFmtId="0" fontId="1" fillId="0" borderId="0" xfId="0" applyFont="1" applyBorder="1"/>
    <xf numFmtId="3" fontId="1" fillId="0" borderId="0" xfId="0" applyNumberFormat="1" applyFont="1" applyBorder="1" applyAlignment="1">
      <alignment horizontal="center"/>
    </xf>
    <xf numFmtId="0" fontId="1" fillId="3" borderId="0" xfId="0" applyFont="1" applyFill="1" applyBorder="1"/>
    <xf numFmtId="3" fontId="1" fillId="3" borderId="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3" borderId="4" xfId="0" applyFont="1" applyFill="1" applyBorder="1"/>
    <xf numFmtId="0" fontId="1" fillId="3" borderId="4" xfId="0" quotePrefix="1" applyFont="1" applyFill="1" applyBorder="1"/>
    <xf numFmtId="0" fontId="2" fillId="4" borderId="5" xfId="0" applyFont="1" applyFill="1" applyBorder="1"/>
    <xf numFmtId="0" fontId="2" fillId="2" borderId="6" xfId="0" applyFont="1" applyFill="1" applyBorder="1" applyAlignment="1">
      <alignment horizontal="center"/>
    </xf>
    <xf numFmtId="0" fontId="1" fillId="0" borderId="7" xfId="0" applyFont="1" applyBorder="1"/>
    <xf numFmtId="0" fontId="1" fillId="3" borderId="7" xfId="0" applyFont="1" applyFill="1" applyBorder="1"/>
    <xf numFmtId="0" fontId="2" fillId="4" borderId="8" xfId="0" applyFont="1" applyFill="1" applyBorder="1"/>
    <xf numFmtId="164" fontId="1" fillId="0" borderId="0" xfId="0" applyNumberFormat="1" applyFont="1" applyBorder="1" applyAlignment="1">
      <alignment horizontal="center" vertical="top" wrapText="1"/>
    </xf>
    <xf numFmtId="164" fontId="1" fillId="3" borderId="0" xfId="0" applyNumberFormat="1" applyFont="1" applyFill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center"/>
    </xf>
    <xf numFmtId="164" fontId="1" fillId="3" borderId="0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7109375" customWidth="1"/>
    <col min="2" max="2" width="19.7109375" customWidth="1"/>
    <col min="3" max="3" width="9.7109375" customWidth="1"/>
    <col min="4" max="4" width="44.7109375" customWidth="1"/>
    <col min="5" max="5" width="18.7109375" customWidth="1"/>
    <col min="6" max="6" width="13.7109375" customWidth="1"/>
    <col min="7" max="7" width="52.7109375" customWidth="1"/>
    <col min="8" max="8" width="18.7109375" customWidth="1"/>
    <col min="9" max="9" width="42.7109375" customWidth="1"/>
    <col min="10" max="10" width="10.7109375" customWidth="1"/>
  </cols>
  <sheetData>
    <row r="1" spans="1:10" ht="26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0" customHeight="1">
      <c r="A2" s="13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9" t="s">
        <v>10</v>
      </c>
    </row>
    <row r="3" spans="1:10" ht="57.75" customHeight="1">
      <c r="A3" s="14">
        <v>1</v>
      </c>
      <c r="B3" s="7" t="s">
        <v>11</v>
      </c>
      <c r="C3" s="8" t="s">
        <v>12</v>
      </c>
      <c r="D3" s="8" t="s">
        <v>13</v>
      </c>
      <c r="E3" s="8" t="s">
        <v>14</v>
      </c>
      <c r="F3" s="40">
        <v>46267</v>
      </c>
      <c r="G3" s="8" t="s">
        <v>15</v>
      </c>
      <c r="H3" s="8" t="s">
        <v>16</v>
      </c>
      <c r="I3" s="8" t="s">
        <v>17</v>
      </c>
      <c r="J3" s="20">
        <v>3</v>
      </c>
    </row>
    <row r="4" spans="1:10" ht="45.75" customHeight="1">
      <c r="A4" s="15">
        <v>2</v>
      </c>
      <c r="B4" s="9" t="s">
        <v>11</v>
      </c>
      <c r="C4" s="10" t="s">
        <v>12</v>
      </c>
      <c r="D4" s="10" t="s">
        <v>18</v>
      </c>
      <c r="E4" s="10" t="s">
        <v>19</v>
      </c>
      <c r="F4" s="41">
        <v>46267</v>
      </c>
      <c r="G4" s="10" t="s">
        <v>20</v>
      </c>
      <c r="H4" s="10" t="s">
        <v>21</v>
      </c>
      <c r="I4" s="10" t="s">
        <v>22</v>
      </c>
      <c r="J4" s="21">
        <v>2</v>
      </c>
    </row>
    <row r="5" spans="1:10" ht="39.75" customHeight="1">
      <c r="A5" s="16">
        <v>3</v>
      </c>
      <c r="B5" s="8" t="s">
        <v>23</v>
      </c>
      <c r="C5" s="8" t="s">
        <v>12</v>
      </c>
      <c r="D5" s="8" t="s">
        <v>24</v>
      </c>
      <c r="E5" s="8" t="s">
        <v>19</v>
      </c>
      <c r="F5" s="40">
        <v>46267</v>
      </c>
      <c r="G5" s="8" t="s">
        <v>25</v>
      </c>
      <c r="H5" s="8" t="s">
        <v>26</v>
      </c>
      <c r="I5" s="8" t="s">
        <v>27</v>
      </c>
      <c r="J5" s="20">
        <v>2</v>
      </c>
    </row>
    <row r="6" spans="1:10" ht="39.75" customHeight="1">
      <c r="A6" s="17">
        <v>4</v>
      </c>
      <c r="B6" s="10" t="s">
        <v>23</v>
      </c>
      <c r="C6" s="10" t="s">
        <v>28</v>
      </c>
      <c r="D6" s="10" t="s">
        <v>29</v>
      </c>
      <c r="E6" s="10" t="s">
        <v>30</v>
      </c>
      <c r="F6" s="41">
        <v>46268</v>
      </c>
      <c r="G6" s="10" t="s">
        <v>31</v>
      </c>
      <c r="H6" s="10" t="s">
        <v>26</v>
      </c>
      <c r="I6" s="10" t="s">
        <v>32</v>
      </c>
      <c r="J6" s="21">
        <v>1</v>
      </c>
    </row>
    <row r="7" spans="1:10" ht="32.25" customHeight="1">
      <c r="A7" s="16">
        <v>5</v>
      </c>
      <c r="B7" s="8" t="s">
        <v>23</v>
      </c>
      <c r="C7" s="8" t="s">
        <v>28</v>
      </c>
      <c r="D7" s="8" t="s">
        <v>33</v>
      </c>
      <c r="E7" s="8" t="s">
        <v>30</v>
      </c>
      <c r="F7" s="40">
        <v>46267</v>
      </c>
      <c r="G7" s="8" t="s">
        <v>34</v>
      </c>
      <c r="H7" s="8" t="s">
        <v>26</v>
      </c>
      <c r="I7" s="8" t="s">
        <v>32</v>
      </c>
      <c r="J7" s="20">
        <v>1</v>
      </c>
    </row>
    <row r="8" spans="1:10" ht="32.25" customHeight="1">
      <c r="A8" s="17">
        <v>6</v>
      </c>
      <c r="B8" s="10" t="s">
        <v>35</v>
      </c>
      <c r="C8" s="10" t="s">
        <v>28</v>
      </c>
      <c r="D8" s="10" t="s">
        <v>36</v>
      </c>
      <c r="E8" s="10" t="s">
        <v>30</v>
      </c>
      <c r="F8" s="41">
        <v>46267</v>
      </c>
      <c r="G8" s="10" t="s">
        <v>37</v>
      </c>
      <c r="H8" s="10" t="s">
        <v>26</v>
      </c>
      <c r="I8" s="10" t="s">
        <v>38</v>
      </c>
      <c r="J8" s="21">
        <v>1</v>
      </c>
    </row>
    <row r="9" spans="1:10" ht="32.25" customHeight="1">
      <c r="A9" s="18">
        <v>7</v>
      </c>
      <c r="B9" s="12" t="s">
        <v>35</v>
      </c>
      <c r="C9" s="12" t="s">
        <v>12</v>
      </c>
      <c r="D9" s="12" t="s">
        <v>39</v>
      </c>
      <c r="E9" s="12" t="s">
        <v>19</v>
      </c>
      <c r="F9" s="42">
        <v>46267</v>
      </c>
      <c r="G9" s="12" t="s">
        <v>40</v>
      </c>
      <c r="H9" s="12" t="s">
        <v>26</v>
      </c>
      <c r="I9" s="12" t="s">
        <v>41</v>
      </c>
      <c r="J9" s="22">
        <v>2</v>
      </c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3" t="s">
        <v>42</v>
      </c>
      <c r="B11" s="3" t="s">
        <v>43</v>
      </c>
      <c r="C11" s="3" t="s">
        <v>44</v>
      </c>
      <c r="D11" s="1"/>
      <c r="E11" s="1"/>
      <c r="F11" s="1"/>
      <c r="G11" s="1"/>
      <c r="H11" s="1"/>
      <c r="I11" s="1"/>
      <c r="J11" s="1"/>
    </row>
    <row r="12" spans="1:10">
      <c r="A12" s="1" t="s">
        <v>11</v>
      </c>
      <c r="B12" s="4">
        <f>COUNTIF($B$3:$B$9,$A12)</f>
        <v>2</v>
      </c>
      <c r="C12" s="4">
        <f>SUMIF($B$3:$B$9,$A12,$J$3:$J$9)</f>
        <v>5</v>
      </c>
      <c r="D12" s="1"/>
      <c r="E12" s="1"/>
      <c r="F12" s="1"/>
      <c r="G12" s="1"/>
      <c r="H12" s="1"/>
      <c r="I12" s="1"/>
      <c r="J12" s="1"/>
    </row>
    <row r="13" spans="1:10">
      <c r="A13" s="1" t="s">
        <v>23</v>
      </c>
      <c r="B13" s="4">
        <f>COUNTIF($B$3:$B$9,$A13)</f>
        <v>3</v>
      </c>
      <c r="C13" s="4">
        <f>SUMIF($B$3:$B$9,$A13,$J$3:$J$9)</f>
        <v>4</v>
      </c>
      <c r="D13" s="1"/>
      <c r="E13" s="1"/>
      <c r="F13" s="1"/>
      <c r="G13" s="1"/>
      <c r="H13" s="1"/>
      <c r="I13" s="1"/>
      <c r="J13" s="1"/>
    </row>
    <row r="14" spans="1:10">
      <c r="A14" s="1" t="s">
        <v>35</v>
      </c>
      <c r="B14" s="4">
        <f>COUNTIF($B$3:$B$9,$A14)</f>
        <v>2</v>
      </c>
      <c r="C14" s="4">
        <f>SUMIF($B$3:$B$9,$A14,$J$3:$J$9)</f>
        <v>3</v>
      </c>
      <c r="D14" s="1"/>
      <c r="E14" s="1"/>
      <c r="F14" s="1"/>
      <c r="G14" s="1"/>
      <c r="H14" s="1"/>
      <c r="I14" s="1"/>
      <c r="J14" s="1"/>
    </row>
    <row r="15" spans="1:10">
      <c r="A15" s="5" t="s">
        <v>45</v>
      </c>
      <c r="B15" s="6">
        <f>SUM(B12:B14)</f>
        <v>7</v>
      </c>
      <c r="C15" s="6">
        <f>SUM(C12:C14)</f>
        <v>12</v>
      </c>
      <c r="D15" s="1"/>
      <c r="E15" s="1"/>
      <c r="F15" s="1"/>
      <c r="G15" s="1"/>
      <c r="H15" s="1"/>
      <c r="I15" s="1"/>
      <c r="J15" s="1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6FC9-6E2E-4B0F-A687-918A70982453}">
  <dimension ref="A1:E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4.7109375" customWidth="1"/>
    <col min="2" max="2" width="28.7109375" customWidth="1"/>
    <col min="3" max="3" width="14.7109375" customWidth="1"/>
    <col min="4" max="4" width="9.7109375" customWidth="1"/>
    <col min="5" max="5" width="42.7109375" customWidth="1"/>
  </cols>
  <sheetData>
    <row r="1" spans="1:5" ht="26.25" customHeight="1">
      <c r="A1" s="2" t="s">
        <v>46</v>
      </c>
      <c r="B1" s="2"/>
      <c r="C1" s="2"/>
      <c r="D1" s="2"/>
      <c r="E1" s="2"/>
    </row>
    <row r="2" spans="1:5" ht="21.75" customHeight="1">
      <c r="A2" s="31" t="s">
        <v>4</v>
      </c>
      <c r="B2" s="27" t="s">
        <v>5</v>
      </c>
      <c r="C2" s="27" t="s">
        <v>47</v>
      </c>
      <c r="D2" s="27" t="s">
        <v>48</v>
      </c>
      <c r="E2" s="36" t="s">
        <v>49</v>
      </c>
    </row>
    <row r="3" spans="1:5">
      <c r="A3" s="32" t="s">
        <v>50</v>
      </c>
      <c r="B3" s="23" t="s">
        <v>51</v>
      </c>
      <c r="C3" s="43">
        <v>46266</v>
      </c>
      <c r="D3" s="24">
        <v>2</v>
      </c>
      <c r="E3" s="37" t="s">
        <v>52</v>
      </c>
    </row>
    <row r="4" spans="1:5">
      <c r="A4" s="33" t="s">
        <v>53</v>
      </c>
      <c r="B4" s="25" t="s">
        <v>54</v>
      </c>
      <c r="C4" s="44">
        <v>46265</v>
      </c>
      <c r="D4" s="26">
        <v>2</v>
      </c>
      <c r="E4" s="38" t="s">
        <v>55</v>
      </c>
    </row>
    <row r="5" spans="1:5">
      <c r="A5" s="32" t="s">
        <v>56</v>
      </c>
      <c r="B5" s="23" t="s">
        <v>51</v>
      </c>
      <c r="C5" s="43">
        <v>46264</v>
      </c>
      <c r="D5" s="24">
        <v>2</v>
      </c>
      <c r="E5" s="37" t="s">
        <v>57</v>
      </c>
    </row>
    <row r="6" spans="1:5">
      <c r="A6" s="34" t="s">
        <v>58</v>
      </c>
      <c r="B6" s="25" t="s">
        <v>19</v>
      </c>
      <c r="C6" s="44">
        <v>46267</v>
      </c>
      <c r="D6" s="26">
        <v>2</v>
      </c>
      <c r="E6" s="38" t="s">
        <v>59</v>
      </c>
    </row>
    <row r="7" spans="1:5">
      <c r="A7" s="35" t="s">
        <v>45</v>
      </c>
      <c r="B7" s="28"/>
      <c r="C7" s="29"/>
      <c r="D7" s="30">
        <f>SUM(D3:D6)</f>
        <v>8</v>
      </c>
      <c r="E7" s="39"/>
    </row>
  </sheetData>
  <mergeCells count="1">
    <mergeCell ref="A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8e27b88-2bda-4df5-a7c3-d20c6acc09d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i:0#.f|membership|admin@diax01122743.onmicrosoft.com</cp:lastModifiedBy>
  <cp:revision/>
  <dcterms:created xsi:type="dcterms:W3CDTF">2026-09-03T05:21:52Z</dcterms:created>
  <dcterms:modified xsi:type="dcterms:W3CDTF">2026-09-03T05:24:27Z</dcterms:modified>
  <cp:category/>
  <cp:contentStatus/>
</cp:coreProperties>
</file>