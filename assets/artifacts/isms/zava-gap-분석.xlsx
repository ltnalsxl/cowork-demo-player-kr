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121" documentId="11_C233E2EAFA6C570E97E819E7E0BCBE8359B1E8BC" xr6:coauthVersionLast="47" xr6:coauthVersionMax="47" xr10:uidLastSave="{B3124CC1-438C-4A6E-9082-189E5D72C6AC}"/>
  <bookViews>
    <workbookView xWindow="0" yWindow="0" windowWidth="0" windowHeight="0" xr2:uid="{00000000-000D-0000-FFFF-FFFF00000000}"/>
  </bookViews>
  <sheets>
    <sheet name="Gap 분석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0" i="1"/>
  <c r="B19" i="1"/>
  <c r="B18" i="1"/>
</calcChain>
</file>

<file path=xl/sharedStrings.xml><?xml version="1.0" encoding="utf-8"?>
<sst xmlns="http://schemas.openxmlformats.org/spreadsheetml/2006/main" count="110" uniqueCount="81">
  <si>
    <t>Zava 파이낸셜코리아 · ISMS-P 사후심사 Gap 분석 (위험관리대장 미조치·조치중 항목 — 심사 기간 2026년 10월 12일~16일)</t>
  </si>
  <si>
    <t>위험ID</t>
  </si>
  <si>
    <t>위험내용</t>
  </si>
  <si>
    <t>위험등급</t>
  </si>
  <si>
    <t>관련 점검 항목</t>
  </si>
  <si>
    <t>점검 항목 준비상태</t>
  </si>
  <si>
    <t>미비 내용</t>
  </si>
  <si>
    <t>심사 전 권고 조치</t>
  </si>
  <si>
    <t>담당자</t>
  </si>
  <si>
    <t>R-001</t>
  </si>
  <si>
    <t>온프레미스 Active Directory에 공용 관리자 계정 14개가 남아 있음. 계정을 여럿이 함께 쓰고 있어 행위자를 특정할 수 없고 세션 추적이 불가능함</t>
  </si>
  <si>
    <t>심각</t>
  </si>
  <si>
    <t>항목 2 — 특수권한 계정은 개인별 실명 계정을 사용한다 (공용 계정 금지) / ISMS-P 2.5.5</t>
  </si>
  <si>
    <t>미비</t>
  </si>
  <si>
    <t>공용 관리자 계정 14개가 아직 살아 있음. 조치가 끝나기 전에는 PAM 보고서와 Active Directory 계정 현황을 증적으로 제출할 수 없음</t>
  </si>
  <si>
    <t>PAM 전환을 조치목표일 2026-09-30까지 완료하고, 공용 계정이 없음을 보이는 PAM 시스템 보고서와 Active Directory 계정 현황을 증적으로 확보</t>
  </si>
  <si>
    <t>남지훈 (정보보호본부장)</t>
  </si>
  <si>
    <t>R-002</t>
  </si>
  <si>
    <t>고객 개인신용정보가 담긴 Azure Blob Storage 컨테이너 3개에 저장 시 암호화가 적용되지 않음. 스토리지 계정이 침해되면 평문으로 노출됨</t>
  </si>
  <si>
    <t>항목 6 — 고객 개인신용정보를 저장하는 모든 저장소에 암호화가 적용된다 / ISMS-P 2.7.1</t>
  </si>
  <si>
    <t>고객 개인신용정보가 담긴 Azure Blob 컨테이너 3개가 암호화 미적용. 설정 화면에 그대로 노출됨</t>
  </si>
  <si>
    <t>잔여 3개 컨테이너의 암호화 소급 적용을 2026-09-25까지 완료하고, Azure 스토리지 암호화 설정 보고서와 개인정보 보관 위치가 표시된 자산 목록을 확보</t>
  </si>
  <si>
    <t>문경호 (클라우드인프라팀장)</t>
  </si>
  <si>
    <t>R-003</t>
  </si>
  <si>
    <t>Azure 서비스 계정 23개에 다중 인증(MFA)이 적용되지 않음. MFA 의무화 이전에 만들어진 계정으로 관리 ID 전환이 되지 않은 상태</t>
  </si>
  <si>
    <t>항목 3 — 모든 사용자 계정과 서비스 계정에 다중 인증이 적용된다 / ISMS-P 2.5.3</t>
  </si>
  <si>
    <t>서비스 계정 23개가 MFA 미적용. Entra ID 보고서에 그대로 드러남 (2026년 8월 기준 8개 전환 완료)</t>
  </si>
  <si>
    <t>잔여 15개 계정의 관리 ID 전환을 2026-10-05까지 완료. 전환이 불가한 계정은 예외 처리 대장에 등재하고 보완 통제를 기록</t>
  </si>
  <si>
    <t>R-004</t>
  </si>
  <si>
    <t>외주 분석업체 Litware 데이터애널리틱스가 사내 데이터웨어하우스에 24시간 상시 접근 권한을 보유. 접근 시간 제한이나 작업 입회 통제가 없음</t>
  </si>
  <si>
    <t>항목 5 — 외주업체 접근권한은 기간을 한정하고 작업을 입회 통제한다 / ISMS-P 2.3.2, 2.3.3</t>
  </si>
  <si>
    <t>Litware 데이터애널리틱스가 상시 접근권한 보유. 보안계약서 개정 중이며 현재 로그에 입회 없는 접근 기록이 남아 있음</t>
  </si>
  <si>
    <t>법무 검토 중인 정보처리 위탁 보안계약서 개정안을 확정하고 접근 시간대와 시스템 범위를 한정. 2026-09-30까지 세션 범위와 접속 시간이 남는 접근 로그를 확보</t>
  </si>
  <si>
    <t>조현우 (외주관리팀장)</t>
  </si>
  <si>
    <t>R-005</t>
  </si>
  <si>
    <t>침해사고 대응 모의훈련을 18개월간 실시하지 않음. 최근 훈련은 2025년 2월</t>
  </si>
  <si>
    <t>항목 8 — 침해사고 대응 절차를 문서화하고 매년 훈련한다 / ISMS-P 2.11.4</t>
  </si>
  <si>
    <t>최근 훈련이 2025년 2월로 18개월 경과. 현시점에 제출할 훈련 결과 보고서가 없음</t>
  </si>
  <si>
    <t>원장 시스템 랜섬웨어 감염 시나리오 모의훈련을 2026-09-25까지 실시하고, 결과 보고서를 최근 12개월 내 증적으로 작성</t>
  </si>
  <si>
    <t>R-006</t>
  </si>
  <si>
    <t>업무연속성계획(BCP)을 2023년 이후 검토하거나 갱신하지 않음. 현재의 클라우드 구조와 재택 병행 근무 환경이 반영돼 있지 않음</t>
  </si>
  <si>
    <t>높음</t>
  </si>
  <si>
    <t>항목 13 — 업무연속성계획을 문서화하고 매년 검토한다 / ISMS-P 2.12.1, 2.12.2</t>
  </si>
  <si>
    <t>진행중</t>
  </si>
  <si>
    <t>BCP 최종 갱신이 2023년. 현행 문서에 클라우드 구조가 반영돼 있지 않음. 초안은 9월 말 예정</t>
  </si>
  <si>
    <t>대장상 목표일이 2026-10-31로 심사 이후이므로 심사 전 완료는 어려움. 9월 말 초안과 외부 자문사 선임 근거, 업무영향분석 진행 상황을 진행 경과로 제시</t>
  </si>
  <si>
    <t>정다은 (준법감시인)</t>
  </si>
  <si>
    <t>R-007</t>
  </si>
  <si>
    <t>2025년 4분기 접근권한 정기 검토가 기한보다 47일 늦게 완료됨. 검토 절차가 수작업이고 담당자 개인의 기억에 의존함</t>
  </si>
  <si>
    <t>항목 4 — 접근권한 검토를 분기마다 실시하고 기한 안에 완료한다 / ISMS-P 2.5.6</t>
  </si>
  <si>
    <t>2025년 4분기 검토가 2026-02-14에 기한을 넘겨 완료됨. 2026년 1분기 검토는 진행 중</t>
  </si>
  <si>
    <t>2026년 1분기 검토를 기한 내 종결하고, ServiceNow 자동 알림 설정 내역과 2025년 2·3분기 기한 내 완료 보고서를 함께 제출</t>
  </si>
  <si>
    <t>R-008</t>
  </si>
  <si>
    <t>연간 정보보호 교육 이수율이 67%에 머물러 있음. 임직원 33%가 의무 교육을 마치지 않음</t>
  </si>
  <si>
    <t>항목 11 — 전 임직원이 연간 의무 정보보호 교육을 이수한다 / ISMS-P 2.2.4</t>
  </si>
  <si>
    <t>현재 이수율 67%. 교육 시스템 보고서에 현재 수치가 그대로 나옴</t>
  </si>
  <si>
    <t>이수 독려 캠페인을 이어 2026-09-30까지 목표 95%를 달성하고, 팀장 대상 안내 발송 이력과 이수율 추이를 함께 증적화</t>
  </si>
  <si>
    <t>서예린 (인사총무팀장)</t>
  </si>
  <si>
    <t>R-009</t>
  </si>
  <si>
    <t>2026년 3월 모의침투 결과 가운데 위험도 높음 2건이 미조치 상태. 고객 포털의 SQL 삽입 취약점과 API의 부적절한 직접 객체 참조</t>
  </si>
  <si>
    <t>항목 9 — 위험도 심각·높음 취약점을 정해진 기한 안에 조치한다 / ISMS-P 2.11.2</t>
  </si>
  <si>
    <t>2026년 3월 모의침투의 높음 2건이 미조치. 웹 방화벽 규칙으로 임시 완화 중이며 근본 조치는 애플리케이션 코드 수정 필요</t>
  </si>
  <si>
    <t>9월 개발 스프린트에서 코드 수정을 완료하고 재점검 결과를 확보. 2026-09-30까지 조치 이력 대장을 정리</t>
  </si>
  <si>
    <t>R-010</t>
  </si>
  <si>
    <t>변경관리 절차에 기준 금액 이하 인프라 변경은 보안성 검토를 요구하지 않음. 최근 변경 3건이 보안 검토 없이 반영됨</t>
  </si>
  <si>
    <t>항목 10 — 인프라 변경은 반영 전에 보안성 검토를 거친다 / ISMS-P 2.9.1</t>
  </si>
  <si>
    <t>(대장 상태: 조치중) 변경 3건이 보안성 검토를 거치지 않음. 변경 이력에 해당 3건의 공백이 드러남</t>
  </si>
  <si>
    <t>변경관리 지침 개정을 2026-09-15까지 확정해 보안성 검토 기준을 명문화하고, 개정 이후 변경 건의 검토 승인 기록을 확보</t>
  </si>
  <si>
    <t>R-012</t>
  </si>
  <si>
    <t>Microsoft 365 Purview의 감사 로그 보존 기간이 90일로 설정돼 있음. 5만 명 이상의 정보주체 개인정보를 처리하므로 2년 이상 보관해야 함</t>
  </si>
  <si>
    <t>항목 7 — 접속기록을 2년 이상 보관한다 / ISMS-P 2.9.4</t>
  </si>
  <si>
    <t>현재 보존 기간 90일. 주간 수동 내보내기는 기록해 두었으나 보존 정책 자체는 미변경</t>
  </si>
  <si>
    <t>Purview 보존 정책을 2년 이상으로 변경하고 규정 준수 관리자 승인과 검증을 2026-09-30까지 완료. 설정 화면과 보관 기간이 확인되는 로그 추출본을 확보</t>
  </si>
  <si>
    <t>R-011</t>
  </si>
  <si>
    <t>레거시 SharePoint 문서에 정보자산 분류 체계가 적용되지 않음. 약 12,000건에 민감도 레이블이 없음</t>
  </si>
  <si>
    <t>보통</t>
  </si>
  <si>
    <t>항목 12 — 모든 정보자산을 분류 체계에 따라 분류하고 표시한다 / ISMS-P 2.1.3</t>
  </si>
  <si>
    <t>(대장 상태: 조치중) 레거시 SharePoint 문서 약 12,000건이 미분류. 자동 레이블 시범 적용 중</t>
  </si>
  <si>
    <t>대장상 목표일이 2026-12-31로 심사 이후이므로 전면 적용은 어려움. 500건 시범 적용 결과와 전면 적용 계획을 진행 경과로 제시</t>
  </si>
  <si>
    <t>위험등급별 건수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</si>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</sst>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theme="1"/>
      <name val="Calibri"/>
    </font>
    <font>
      <b/>
      <sz val="10"/>
      <color theme="1"/>
      <name val="Calibri"/>
    </font>
    <font>
      <b/>
      <sz val="10"/>
      <color rgb="FFFFFFFF"/>
      <name val="Calibri"/>
    </font>
    <font>
      <b/>
      <sz val="14"/>
      <color rgb="FFFFFFFF"/>
      <name val="Calibri"/>
    </font>
    <font>
      <b/>
      <sz val="10"/>
      <color rgb="FF8B1A1A"/>
      <name val="Calibri"/>
    </font>
    <font>
      <b/>
      <sz val="10"/>
      <color rgb="FF7A4E00"/>
      <name val="Calibri"/>
    </font>
    <font>
      <b/>
      <sz val="10"/>
      <color rgb="FF374151"/>
      <name val="Calibri"/>
    </font>
    <font>
      <b/>
      <sz val="10"/>
      <color rgb="FF0B3B37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2A5C"/>
        <bgColor indexed="64"/>
      </patternFill>
    </fill>
    <fill>
      <patternFill patternType="solid">
        <fgColor rgb="FFEEF1F8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FDECC8"/>
        <bgColor indexed="64"/>
      </patternFill>
    </fill>
    <fill>
      <patternFill patternType="solid">
        <fgColor rgb="FFE4E7EB"/>
        <bgColor indexed="64"/>
      </patternFill>
    </fill>
    <fill>
      <patternFill patternType="solid">
        <fgColor rgb="FF4FD1C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C9CFDE"/>
      </top>
      <bottom/>
      <diagonal/>
    </border>
    <border>
      <left/>
      <right/>
      <top/>
      <bottom style="thin">
        <color rgb="FFC9CFDE"/>
      </bottom>
      <diagonal/>
    </border>
    <border>
      <left style="thin">
        <color rgb="FFC9CFDE"/>
      </left>
      <right/>
      <top style="thin">
        <color rgb="FFC9CFDE"/>
      </top>
      <bottom/>
      <diagonal/>
    </border>
    <border>
      <left style="thin">
        <color rgb="FFC9CFDE"/>
      </left>
      <right/>
      <top/>
      <bottom/>
      <diagonal/>
    </border>
    <border>
      <left style="thin">
        <color rgb="FFC9CFDE"/>
      </left>
      <right/>
      <top/>
      <bottom style="thin">
        <color rgb="FFC9CFDE"/>
      </bottom>
      <diagonal/>
    </border>
    <border>
      <left/>
      <right style="thin">
        <color rgb="FFC9CFDE"/>
      </right>
      <top style="thin">
        <color rgb="FFC9CFDE"/>
      </top>
      <bottom/>
      <diagonal/>
    </border>
    <border>
      <left/>
      <right style="thin">
        <color rgb="FFC9CFDE"/>
      </right>
      <top/>
      <bottom/>
      <diagonal/>
    </border>
    <border>
      <left/>
      <right style="thin">
        <color rgb="FFC9CFDE"/>
      </right>
      <top/>
      <bottom style="thin">
        <color rgb="FFC9CFDE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 wrapText="1"/>
    </xf>
    <xf numFmtId="0" fontId="4" fillId="2" borderId="0" xfId="0" applyFont="1" applyFill="1" applyAlignment="1">
      <alignment horizontal="left" vertical="center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center" vertical="center" wrapText="1"/>
    </xf>
    <xf numFmtId="0" fontId="1" fillId="3" borderId="0" xfId="0" applyFont="1" applyFill="1" applyBorder="1" applyAlignment="1">
      <alignment vertical="top" wrapText="1"/>
    </xf>
    <xf numFmtId="0" fontId="1" fillId="3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5" fillId="0" borderId="0" xfId="0" applyFont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top" wrapText="1"/>
    </xf>
    <xf numFmtId="3" fontId="2" fillId="0" borderId="3" xfId="0" applyNumberFormat="1" applyFont="1" applyBorder="1" applyAlignment="1">
      <alignment horizontal="center" vertical="top" wrapText="1"/>
    </xf>
    <xf numFmtId="3" fontId="2" fillId="0" borderId="4" xfId="0" applyNumberFormat="1" applyFont="1" applyBorder="1" applyAlignment="1">
      <alignment horizontal="center" vertical="top" wrapText="1"/>
    </xf>
    <xf numFmtId="3" fontId="2" fillId="0" borderId="6" xfId="0" applyNumberFormat="1" applyFont="1" applyBorder="1" applyAlignment="1">
      <alignment horizontal="center" vertical="top" wrapText="1"/>
    </xf>
    <xf numFmtId="3" fontId="2" fillId="0" borderId="7" xfId="0" applyNumberFormat="1" applyFont="1" applyBorder="1" applyAlignment="1">
      <alignment horizontal="center" vertical="top" wrapText="1"/>
    </xf>
    <xf numFmtId="3" fontId="8" fillId="7" borderId="5" xfId="0" applyNumberFormat="1" applyFont="1" applyFill="1" applyBorder="1" applyAlignment="1">
      <alignment horizontal="center" vertical="top" wrapText="1"/>
    </xf>
    <xf numFmtId="3" fontId="8" fillId="7" borderId="8" xfId="0" applyNumberFormat="1" applyFont="1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9.7109375" customWidth="1"/>
    <col min="2" max="2" width="48.7109375" customWidth="1"/>
    <col min="3" max="3" width="9.7109375" customWidth="1"/>
    <col min="4" max="4" width="40.7109375" customWidth="1"/>
    <col min="5" max="5" width="11.7109375" customWidth="1"/>
    <col min="6" max="6" width="46.7109375" customWidth="1"/>
    <col min="7" max="7" width="50.7109375" customWidth="1"/>
    <col min="8" max="8" width="22.7109375" customWidth="1"/>
  </cols>
  <sheetData>
    <row r="1" spans="1:8" ht="30" customHeight="1">
      <c r="A1" s="2" t="s">
        <v>0</v>
      </c>
      <c r="B1" s="2"/>
      <c r="C1" s="2"/>
      <c r="D1" s="2"/>
      <c r="E1" s="2"/>
      <c r="F1" s="2"/>
      <c r="G1" s="2"/>
      <c r="H1" s="2"/>
    </row>
    <row r="2" spans="1:8" ht="33.75" customHeight="1">
      <c r="A2" s="10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14" t="s">
        <v>8</v>
      </c>
    </row>
    <row r="3" spans="1:8" ht="62.25" customHeight="1">
      <c r="A3" s="11" t="s">
        <v>9</v>
      </c>
      <c r="B3" s="3" t="s">
        <v>10</v>
      </c>
      <c r="C3" s="20" t="s">
        <v>11</v>
      </c>
      <c r="D3" s="3" t="s">
        <v>12</v>
      </c>
      <c r="E3" s="18" t="s">
        <v>13</v>
      </c>
      <c r="F3" s="3" t="s">
        <v>14</v>
      </c>
      <c r="G3" s="3" t="s">
        <v>15</v>
      </c>
      <c r="H3" s="15" t="s">
        <v>16</v>
      </c>
    </row>
    <row r="4" spans="1:8" ht="62.25" customHeight="1">
      <c r="A4" s="12" t="s">
        <v>17</v>
      </c>
      <c r="B4" s="5" t="s">
        <v>18</v>
      </c>
      <c r="C4" s="20" t="s">
        <v>11</v>
      </c>
      <c r="D4" s="5" t="s">
        <v>19</v>
      </c>
      <c r="E4" s="19" t="s">
        <v>13</v>
      </c>
      <c r="F4" s="5" t="s">
        <v>20</v>
      </c>
      <c r="G4" s="5" t="s">
        <v>21</v>
      </c>
      <c r="H4" s="16" t="s">
        <v>22</v>
      </c>
    </row>
    <row r="5" spans="1:8" ht="62.25" customHeight="1">
      <c r="A5" s="11" t="s">
        <v>23</v>
      </c>
      <c r="B5" s="3" t="s">
        <v>24</v>
      </c>
      <c r="C5" s="20" t="s">
        <v>11</v>
      </c>
      <c r="D5" s="3" t="s">
        <v>25</v>
      </c>
      <c r="E5" s="18" t="s">
        <v>13</v>
      </c>
      <c r="F5" s="3" t="s">
        <v>26</v>
      </c>
      <c r="G5" s="3" t="s">
        <v>27</v>
      </c>
      <c r="H5" s="15" t="s">
        <v>22</v>
      </c>
    </row>
    <row r="6" spans="1:8" ht="62.25" customHeight="1">
      <c r="A6" s="12" t="s">
        <v>28</v>
      </c>
      <c r="B6" s="5" t="s">
        <v>29</v>
      </c>
      <c r="C6" s="20" t="s">
        <v>11</v>
      </c>
      <c r="D6" s="5" t="s">
        <v>30</v>
      </c>
      <c r="E6" s="19" t="s">
        <v>13</v>
      </c>
      <c r="F6" s="5" t="s">
        <v>31</v>
      </c>
      <c r="G6" s="5" t="s">
        <v>32</v>
      </c>
      <c r="H6" s="16" t="s">
        <v>33</v>
      </c>
    </row>
    <row r="7" spans="1:8" ht="51.75" customHeight="1">
      <c r="A7" s="11" t="s">
        <v>34</v>
      </c>
      <c r="B7" s="3" t="s">
        <v>35</v>
      </c>
      <c r="C7" s="20" t="s">
        <v>11</v>
      </c>
      <c r="D7" s="3" t="s">
        <v>36</v>
      </c>
      <c r="E7" s="18" t="s">
        <v>13</v>
      </c>
      <c r="F7" s="3" t="s">
        <v>37</v>
      </c>
      <c r="G7" s="3" t="s">
        <v>38</v>
      </c>
      <c r="H7" s="15" t="s">
        <v>16</v>
      </c>
    </row>
    <row r="8" spans="1:8" ht="62.25" customHeight="1">
      <c r="A8" s="12" t="s">
        <v>39</v>
      </c>
      <c r="B8" s="5" t="s">
        <v>40</v>
      </c>
      <c r="C8" s="21" t="s">
        <v>41</v>
      </c>
      <c r="D8" s="5" t="s">
        <v>42</v>
      </c>
      <c r="E8" s="6" t="s">
        <v>43</v>
      </c>
      <c r="F8" s="5" t="s">
        <v>44</v>
      </c>
      <c r="G8" s="5" t="s">
        <v>45</v>
      </c>
      <c r="H8" s="16" t="s">
        <v>46</v>
      </c>
    </row>
    <row r="9" spans="1:8" ht="62.25" customHeight="1">
      <c r="A9" s="11" t="s">
        <v>47</v>
      </c>
      <c r="B9" s="3" t="s">
        <v>48</v>
      </c>
      <c r="C9" s="21" t="s">
        <v>41</v>
      </c>
      <c r="D9" s="3" t="s">
        <v>49</v>
      </c>
      <c r="E9" s="4" t="s">
        <v>43</v>
      </c>
      <c r="F9" s="3" t="s">
        <v>50</v>
      </c>
      <c r="G9" s="3" t="s">
        <v>51</v>
      </c>
      <c r="H9" s="15" t="s">
        <v>22</v>
      </c>
    </row>
    <row r="10" spans="1:8" ht="51.75" customHeight="1">
      <c r="A10" s="12" t="s">
        <v>52</v>
      </c>
      <c r="B10" s="5" t="s">
        <v>53</v>
      </c>
      <c r="C10" s="21" t="s">
        <v>41</v>
      </c>
      <c r="D10" s="5" t="s">
        <v>54</v>
      </c>
      <c r="E10" s="6" t="s">
        <v>43</v>
      </c>
      <c r="F10" s="5" t="s">
        <v>55</v>
      </c>
      <c r="G10" s="5" t="s">
        <v>56</v>
      </c>
      <c r="H10" s="16" t="s">
        <v>57</v>
      </c>
    </row>
    <row r="11" spans="1:8" ht="62.25" customHeight="1">
      <c r="A11" s="11" t="s">
        <v>58</v>
      </c>
      <c r="B11" s="3" t="s">
        <v>59</v>
      </c>
      <c r="C11" s="21" t="s">
        <v>41</v>
      </c>
      <c r="D11" s="3" t="s">
        <v>60</v>
      </c>
      <c r="E11" s="4" t="s">
        <v>43</v>
      </c>
      <c r="F11" s="3" t="s">
        <v>61</v>
      </c>
      <c r="G11" s="3" t="s">
        <v>62</v>
      </c>
      <c r="H11" s="15" t="s">
        <v>22</v>
      </c>
    </row>
    <row r="12" spans="1:8" ht="62.25" customHeight="1">
      <c r="A12" s="12" t="s">
        <v>63</v>
      </c>
      <c r="B12" s="5" t="s">
        <v>64</v>
      </c>
      <c r="C12" s="21" t="s">
        <v>41</v>
      </c>
      <c r="D12" s="5" t="s">
        <v>65</v>
      </c>
      <c r="E12" s="6" t="s">
        <v>43</v>
      </c>
      <c r="F12" s="5" t="s">
        <v>66</v>
      </c>
      <c r="G12" s="5" t="s">
        <v>67</v>
      </c>
      <c r="H12" s="16" t="s">
        <v>16</v>
      </c>
    </row>
    <row r="13" spans="1:8" ht="62.25" customHeight="1">
      <c r="A13" s="11" t="s">
        <v>68</v>
      </c>
      <c r="B13" s="3" t="s">
        <v>69</v>
      </c>
      <c r="C13" s="21" t="s">
        <v>41</v>
      </c>
      <c r="D13" s="3" t="s">
        <v>70</v>
      </c>
      <c r="E13" s="18" t="s">
        <v>13</v>
      </c>
      <c r="F13" s="3" t="s">
        <v>71</v>
      </c>
      <c r="G13" s="3" t="s">
        <v>72</v>
      </c>
      <c r="H13" s="15" t="s">
        <v>16</v>
      </c>
    </row>
    <row r="14" spans="1:8" ht="62.25" customHeight="1">
      <c r="A14" s="13" t="s">
        <v>73</v>
      </c>
      <c r="B14" s="8" t="s">
        <v>74</v>
      </c>
      <c r="C14" s="22" t="s">
        <v>75</v>
      </c>
      <c r="D14" s="8" t="s">
        <v>76</v>
      </c>
      <c r="E14" s="9" t="s">
        <v>43</v>
      </c>
      <c r="F14" s="8" t="s">
        <v>77</v>
      </c>
      <c r="G14" s="8" t="s">
        <v>78</v>
      </c>
      <c r="H14" s="17" t="s">
        <v>33</v>
      </c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23" t="s">
        <v>79</v>
      </c>
      <c r="B17" s="23"/>
      <c r="C17" s="1"/>
      <c r="D17" s="1"/>
      <c r="E17" s="1"/>
      <c r="F17" s="1"/>
      <c r="G17" s="1"/>
      <c r="H17" s="1"/>
    </row>
    <row r="18" spans="1:8">
      <c r="A18" s="24" t="s">
        <v>11</v>
      </c>
      <c r="B18" s="26">
        <f>COUNTIF($C$3:$C$14,$A18)</f>
        <v>5</v>
      </c>
      <c r="C18" s="1"/>
      <c r="D18" s="1"/>
      <c r="E18" s="1"/>
      <c r="F18" s="1"/>
      <c r="G18" s="1"/>
      <c r="H18" s="1"/>
    </row>
    <row r="19" spans="1:8">
      <c r="A19" s="25" t="s">
        <v>41</v>
      </c>
      <c r="B19" s="27">
        <f>COUNTIF($C$3:$C$14,$A19)</f>
        <v>6</v>
      </c>
      <c r="C19" s="1"/>
      <c r="D19" s="1"/>
      <c r="E19" s="1"/>
      <c r="F19" s="1"/>
      <c r="G19" s="1"/>
      <c r="H19" s="1"/>
    </row>
    <row r="20" spans="1:8">
      <c r="A20" s="25" t="s">
        <v>75</v>
      </c>
      <c r="B20" s="27">
        <f>COUNTIF($C$3:$C$14,$A20)</f>
        <v>1</v>
      </c>
      <c r="C20" s="1"/>
      <c r="D20" s="1"/>
      <c r="E20" s="1"/>
      <c r="F20" s="1"/>
      <c r="G20" s="1"/>
      <c r="H20" s="1"/>
    </row>
    <row r="21" spans="1:8">
      <c r="A21" s="28" t="s">
        <v>80</v>
      </c>
      <c r="B21" s="29">
        <f>SUM($B$18:$B$20)</f>
        <v>12</v>
      </c>
      <c r="C21" s="1"/>
      <c r="D21" s="1"/>
      <c r="E21" s="1"/>
      <c r="F21" s="1"/>
      <c r="G21" s="1"/>
      <c r="H21" s="1"/>
    </row>
  </sheetData>
  <mergeCells count="2">
    <mergeCell ref="A1:H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Copilot User</dc:creator>
  <cp:keywords/>
  <dc:description/>
  <cp:lastModifiedBy>Copilot User</cp:lastModifiedBy>
  <cp:revision/>
  <dcterms:created xsi:type="dcterms:W3CDTF">2026-09-02T06:31:11Z</dcterms:created>
  <dcterms:modified xsi:type="dcterms:W3CDTF">2026-09-02T06:33:57Z</dcterms:modified>
  <cp:category/>
  <cp:contentStatus/>
</cp:coreProperties>
</file>